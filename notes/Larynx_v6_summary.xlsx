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nt files" sheetId="1" state="visible" r:id="rId3"/>
    <sheet name="Model measures" sheetId="2" state="visible" r:id="rId4"/>
    <sheet name="Parts" sheetId="3" state="visible" r:id="rId5"/>
    <sheet name="Review and residuals" sheetId="4" state="visible" r:id="rId6"/>
  </sheets>
  <definedNames>
    <definedName function="false" hidden="true" localSheetId="2" name="_xlnm._FilterDatabase" vbProcedure="false">Parts!$A$3:$I$84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<sst xmlns="http://schemas.openxmlformats.org/spreadsheetml/2006/main" count="568" uniqueCount="281">
  <si>
    <t xml:space="preserve">Larynx version 6: print files (Bambu Studio 02.08.02.61 estimates, A1 mini, 0.4 mm, PLA Basic)</t>
  </si>
  <si>
    <t xml:space="preserve">Times and weights are slicer estimates from slice_info.config; colour changes = total filament load time / 28 s. v5 columns are the matching v5 file where one exists (2x halves were one file in v5, one half per file in v6).</t>
  </si>
  <si>
    <t xml:space="preserve">File</t>
  </si>
  <si>
    <t xml:space="preserve">Scale</t>
  </si>
  <si>
    <t xml:space="preserve">Layout</t>
  </si>
  <si>
    <t xml:space="preserve">Colours</t>
  </si>
  <si>
    <t xml:space="preserve">Time (s)</t>
  </si>
  <si>
    <t xml:space="preserve">Time (h)</t>
  </si>
  <si>
    <t xml:space="preserve">Filament (g)</t>
  </si>
  <si>
    <t xml:space="preserve">Colour changes</t>
  </si>
  <si>
    <t xml:space="preserve">g per hour</t>
  </si>
  <si>
    <t xml:space="preserve">v5 file</t>
  </si>
  <si>
    <t xml:space="preserve">v5 time (h)</t>
  </si>
  <si>
    <t xml:space="preserve">v5 filament (g)</t>
  </si>
  <si>
    <t xml:space="preserve">Time vs v5 (h)</t>
  </si>
  <si>
    <t xml:space="preserve">Filament vs v5 (g)</t>
  </si>
  <si>
    <t xml:space="preserve">Larynx_v6_2x_whole_1colour.3mf</t>
  </si>
  <si>
    <t xml:space="preserve">2x</t>
  </si>
  <si>
    <t xml:space="preserve">whole, upright, brim 5 mm</t>
  </si>
  <si>
    <t xml:space="preserve">Larynx_v5_2x_whole_1colour.3mf</t>
  </si>
  <si>
    <t xml:space="preserve">Larynx_v6_2x_halfR_1colour.3mf</t>
  </si>
  <si>
    <t xml:space="preserve">right half on its cut face, no brim; pins 16 / 10 mm</t>
  </si>
  <si>
    <t xml:space="preserve">Larynx_v5_2x_halves_1colour.3mf</t>
  </si>
  <si>
    <t xml:space="preserve">Larynx_v6_2x_halfL_1colour.3mf</t>
  </si>
  <si>
    <t xml:space="preserve">left half on its cut face, no brim</t>
  </si>
  <si>
    <t xml:space="preserve">(no v5 equivalent)</t>
  </si>
  <si>
    <t xml:space="preserve">Larynx_v6_2x_whole_7colour.3mf</t>
  </si>
  <si>
    <t xml:space="preserve">whole, shifted 15 mm back; wipe tower front-left (x 2, width 30)</t>
  </si>
  <si>
    <t xml:space="preserve">Larynx_v5_2x_whole_6colour.3mf</t>
  </si>
  <si>
    <t xml:space="preserve">Larynx_v6_2x_halfR_7colour.3mf</t>
  </si>
  <si>
    <t xml:space="preserve">right half, no brim, tower at left edge</t>
  </si>
  <si>
    <t xml:space="preserve">Larynx_v5_2x_halfR_6colour.3mf</t>
  </si>
  <si>
    <t xml:space="preserve">Larynx_v6_2x_halfL_7colour.3mf</t>
  </si>
  <si>
    <t xml:space="preserve">left half, no brim, tower at left edge</t>
  </si>
  <si>
    <t xml:space="preserve">Larynx_v5_2x_halfL_6colour.3mf</t>
  </si>
  <si>
    <t xml:space="preserve">Larynx_v6_lifesize_whole_1colour.3mf</t>
  </si>
  <si>
    <t xml:space="preserve">1:1</t>
  </si>
  <si>
    <t xml:space="preserve">whole, upright</t>
  </si>
  <si>
    <t xml:space="preserve">Larynx_v5_lifesize_whole_1colour.3mf</t>
  </si>
  <si>
    <t xml:space="preserve">Larynx_v6_lifesize_halves_1colour.3mf</t>
  </si>
  <si>
    <t xml:space="preserve">both halves on one plate; pins 7.5 / 4.5 mm</t>
  </si>
  <si>
    <t xml:space="preserve">Larynx_v5_lifesize_halves_1colour.3mf</t>
  </si>
  <si>
    <t xml:space="preserve">Larynx_v6_lifesize_whole_7colour.3mf</t>
  </si>
  <si>
    <t xml:space="preserve">whole, tower front-left</t>
  </si>
  <si>
    <t xml:space="preserve">Larynx_v5_lifesize_whole_6colour.3mf</t>
  </si>
  <si>
    <t xml:space="preserve">Larynx_v6_lifesize_halves_7colour.3mf</t>
  </si>
  <si>
    <t xml:space="preserve">both halves on one plate, tower x 2 width 30</t>
  </si>
  <si>
    <t xml:space="preserve">Larynx_v5_lifesize_halves_6colour.3mf</t>
  </si>
  <si>
    <t xml:space="preserve">One-colour files, total</t>
  </si>
  <si>
    <t xml:space="preserve">Seven-colour files, total</t>
  </si>
  <si>
    <t xml:space="preserve">Reading: the 7-colour files are purge-dominated now that the block is solid (a 2x half is 13 h / 170 g in one colour and 53 h / 657 g in seven). The 1-colour halves are the practical print; everything added in v6 is inside the block and visible only on the cut faces.</t>
  </si>
  <si>
    <t xml:space="preserve">Version 6 against version 5 and published values (model mm, life size)</t>
  </si>
  <si>
    <t xml:space="preserve">Measure</t>
  </si>
  <si>
    <t xml:space="preserve">v6</t>
  </si>
  <si>
    <t xml:space="preserve">v5</t>
  </si>
  <si>
    <t xml:space="preserve">Reference</t>
  </si>
  <si>
    <t xml:space="preserve">Reference source</t>
  </si>
  <si>
    <t xml:space="preserve">Named parts</t>
  </si>
  <si>
    <t xml:space="preserve">Union volume (cm3), one watertight body</t>
  </si>
  <si>
    <t xml:space="preserve">tongue block, fat, constrictors and oesophagus add 24 cm3</t>
  </si>
  <si>
    <t xml:space="preserve">Hairline cracks closed in the union (cm3, &lt;= 0.5 mm)</t>
  </si>
  <si>
    <t xml:space="preserve">Glottis between the covered folds (mm2)</t>
  </si>
  <si>
    <t xml:space="preserve">quiet breathing</t>
  </si>
  <si>
    <t xml:space="preserve">Glottis inscribed circle (mm)</t>
  </si>
  <si>
    <t xml:space="preserve">Largest ball through the whole airway (mm)</t>
  </si>
  <si>
    <t xml:space="preserve">Epiglottis, tip to petiole (mm)</t>
  </si>
  <si>
    <t xml:space="preserve">29.1 +/- 0.5</t>
  </si>
  <si>
    <t xml:space="preserve">Vadgaonkar 2024</t>
  </si>
  <si>
    <t xml:space="preserve">Epiglottis lift in v6 (mm, whole leaf)</t>
  </si>
  <si>
    <t xml:space="preserve">so the thyro-epiglottic ligament sits above the vestibular ligaments</t>
  </si>
  <si>
    <t xml:space="preserve">Pre-epiglottic fat (mL)</t>
  </si>
  <si>
    <t xml:space="preserve">void</t>
  </si>
  <si>
    <t xml:space="preserve">Hermans 1997: pre-epiglottic + paraglottic 4.5 +/- 1.0 mL, men</t>
  </si>
  <si>
    <t xml:space="preserve">Paraglottic fat, right (mL)</t>
  </si>
  <si>
    <t xml:space="preserve">void / mucosa slab</t>
  </si>
  <si>
    <t xml:space="preserve">three pockets: lateral wing, ventricle-level pocket, infraglottic slit</t>
  </si>
  <si>
    <t xml:space="preserve">Paraglottic fat, left (mL)</t>
  </si>
  <si>
    <t xml:space="preserve">Total fat (mL)</t>
  </si>
  <si>
    <t xml:space="preserve">4.5 +/- 1.0</t>
  </si>
  <si>
    <t xml:space="preserve">Hermans 1997</t>
  </si>
  <si>
    <t xml:space="preserve">Piriform fossa lumen, each (cm3)</t>
  </si>
  <si>
    <t xml:space="preserve">absent</t>
  </si>
  <si>
    <t xml:space="preserve">~1.8</t>
  </si>
  <si>
    <t xml:space="preserve">Vadgaonkar 2024: 25 tall x 14-15 wide x 13 deep</t>
  </si>
  <si>
    <t xml:space="preserve">Piriform fossa width (mm)</t>
  </si>
  <si>
    <t xml:space="preserve">8.5-9.5</t>
  </si>
  <si>
    <t xml:space="preserve">14-15</t>
  </si>
  <si>
    <t xml:space="preserve">limited by the framework lamina, 19 mm from the midline</t>
  </si>
  <si>
    <t xml:space="preserve">Piriform fossa apex level</t>
  </si>
  <si>
    <t xml:space="preserve">vocal-fold level (z+47.5)</t>
  </si>
  <si>
    <t xml:space="preserve">vocal-fold level</t>
  </si>
  <si>
    <t xml:space="preserve">Standring</t>
  </si>
  <si>
    <t xml:space="preserve">Saccule height (mm)</t>
  </si>
  <si>
    <t xml:space="preserve">6-8</t>
  </si>
  <si>
    <t xml:space="preserve">Gray</t>
  </si>
  <si>
    <t xml:space="preserve">Saccule lumen at base / tip (mm2)</t>
  </si>
  <si>
    <t xml:space="preserve">9.5 / &lt;1</t>
  </si>
  <si>
    <t xml:space="preserve">reviewer sections z+54-59</t>
  </si>
  <si>
    <t xml:space="preserve">Cricoarytenoid capsules R / L (mm3)</t>
  </si>
  <si>
    <t xml:space="preserve">59 / 49</t>
  </si>
  <si>
    <t xml:space="preserve">0.8 mm sleeve on the joint line</t>
  </si>
  <si>
    <t xml:space="preserve">Cricothyroid capsules R / L (mm3)</t>
  </si>
  <si>
    <t xml:space="preserve">32 / 32</t>
  </si>
  <si>
    <t xml:space="preserve">Broyles tendon (mm3)</t>
  </si>
  <si>
    <t xml:space="preserve">Inferior constrictors R / L (cm3)</t>
  </si>
  <si>
    <t xml:space="preserve">3.15 / 3.14</t>
  </si>
  <si>
    <t xml:space="preserve">BodyParts3D meshes, warped</t>
  </si>
  <si>
    <t xml:space="preserve">Hypopharyngeal mucosa (cm3)</t>
  </si>
  <si>
    <t xml:space="preserve">0.8 mm layer, cricoid lamina to the oesophageal inlet</t>
  </si>
  <si>
    <t xml:space="preserve">Oesophagus, upper end (cm3)</t>
  </si>
  <si>
    <t xml:space="preserve">on the trachealis and the cricoid lower border</t>
  </si>
  <si>
    <t xml:space="preserve">Tongue base block (cm3)</t>
  </si>
  <si>
    <t xml:space="preserve">a landmark, not a tongue</t>
  </si>
  <si>
    <t xml:space="preserve">Surface thinner than 0.8 mm (2x build, %)</t>
  </si>
  <si>
    <t xml:space="preserve">Airway ring closes at every layer 0-30 mm</t>
  </si>
  <si>
    <t xml:space="preserve">yes</t>
  </si>
  <si>
    <t xml:space="preserve">Overall size, W x D x H (mm)</t>
  </si>
  <si>
    <t xml:space="preserve">42.8 x 48.4 x 89.5</t>
  </si>
  <si>
    <t xml:space="preserve">42.8 x 41 x 81</t>
  </si>
  <si>
    <t xml:space="preserve">the tongue block and lifted leaf add depth and height</t>
  </si>
  <si>
    <t xml:space="preserve">All 81 parts of version 6 with final volumes (after the priority trim and sheet offsets, 2x build)</t>
  </si>
  <si>
    <t xml:space="preserve">Id</t>
  </si>
  <si>
    <t xml:space="preserve">Part</t>
  </si>
  <si>
    <t xml:space="preserve">Group</t>
  </si>
  <si>
    <t xml:space="preserve">Filament slot</t>
  </si>
  <si>
    <t xml:space="preserve">Priority</t>
  </si>
  <si>
    <t xml:space="preserve">Kind</t>
  </si>
  <si>
    <t xml:space="preserve">Volume (mm3)</t>
  </si>
  <si>
    <t xml:space="preserve">Watertight</t>
  </si>
  <si>
    <t xml:space="preserve">Faces</t>
  </si>
  <si>
    <t xml:space="preserve">Hyoid bone</t>
  </si>
  <si>
    <t xml:space="preserve">Bone</t>
  </si>
  <si>
    <t xml:space="preserve">source</t>
  </si>
  <si>
    <t xml:space="preserve">Thyroid cartilage</t>
  </si>
  <si>
    <t xml:space="preserve">Hyaline cartilage</t>
  </si>
  <si>
    <t xml:space="preserve">Cricoid cartilage</t>
  </si>
  <si>
    <t xml:space="preserve">Arytenoid cartilage R</t>
  </si>
  <si>
    <t xml:space="preserve">Arytenoid cartilage L</t>
  </si>
  <si>
    <t xml:space="preserve">Corniculate cartilage R</t>
  </si>
  <si>
    <t xml:space="preserve">Elastic cartilage</t>
  </si>
  <si>
    <t xml:space="preserve">Corniculate cartilage L</t>
  </si>
  <si>
    <t xml:space="preserve">Cuneiform cartilage R</t>
  </si>
  <si>
    <t xml:space="preserve">Cuneiform cartilage L</t>
  </si>
  <si>
    <t xml:space="preserve">Epiglottis</t>
  </si>
  <si>
    <t xml:space="preserve">Trachea - cartilage rings</t>
  </si>
  <si>
    <t xml:space="preserve">Trachea - membranous wall (trachealis)</t>
  </si>
  <si>
    <t xml:space="preserve">Ligament &amp; membrane</t>
  </si>
  <si>
    <t xml:space="preserve">derived</t>
  </si>
  <si>
    <t xml:space="preserve">Trachea - annular ligaments</t>
  </si>
  <si>
    <t xml:space="preserve">Vocal ligament R</t>
  </si>
  <si>
    <t xml:space="preserve">Vocal ligament L</t>
  </si>
  <si>
    <t xml:space="preserve">Conus elasticus R</t>
  </si>
  <si>
    <t xml:space="preserve">Conus elasticus L</t>
  </si>
  <si>
    <t xml:space="preserve">Median cricothyroid ligament</t>
  </si>
  <si>
    <t xml:space="preserve">Thyrohyoid membrane R</t>
  </si>
  <si>
    <t xml:space="preserve">Thyrohyoid membrane L</t>
  </si>
  <si>
    <t xml:space="preserve">Median thyrohyoid ligament</t>
  </si>
  <si>
    <t xml:space="preserve">Lateral thyrohyoid ligament R</t>
  </si>
  <si>
    <t xml:space="preserve">Lateral thyrohyoid ligament L</t>
  </si>
  <si>
    <t xml:space="preserve">Hyo-epiglottic ligament</t>
  </si>
  <si>
    <t xml:space="preserve">Thyro-epiglottic ligament</t>
  </si>
  <si>
    <t xml:space="preserve">Thyro-arytenoid R</t>
  </si>
  <si>
    <t xml:space="preserve">Muscle</t>
  </si>
  <si>
    <t xml:space="preserve">Thyro-arytenoid L</t>
  </si>
  <si>
    <t xml:space="preserve">Vocalis R</t>
  </si>
  <si>
    <t xml:space="preserve">Vocalis L</t>
  </si>
  <si>
    <t xml:space="preserve">Transverse arytenoid</t>
  </si>
  <si>
    <t xml:space="preserve">Oblique arytenoid R</t>
  </si>
  <si>
    <t xml:space="preserve">Oblique arytenoid L</t>
  </si>
  <si>
    <t xml:space="preserve">Aryepiglotticus R</t>
  </si>
  <si>
    <t xml:space="preserve">Aryepiglotticus L</t>
  </si>
  <si>
    <t xml:space="preserve">Posterior crico-arytenoid ligament R</t>
  </si>
  <si>
    <t xml:space="preserve">constructed</t>
  </si>
  <si>
    <t xml:space="preserve">Posterior crico-arytenoid ligament L</t>
  </si>
  <si>
    <t xml:space="preserve">Cricotracheal ligament</t>
  </si>
  <si>
    <t xml:space="preserve">Cricoid cartilage - arytenoid facet R</t>
  </si>
  <si>
    <t xml:space="preserve">Cricoid cartilage - arytenoid facet L</t>
  </si>
  <si>
    <t xml:space="preserve">Posterior crico-arytenoid muscle R</t>
  </si>
  <si>
    <t xml:space="preserve">Posterior crico-arytenoid muscle L</t>
  </si>
  <si>
    <t xml:space="preserve">Lateral crico-arytenoid muscle R</t>
  </si>
  <si>
    <t xml:space="preserve">Lateral crico-arytenoid muscle L</t>
  </si>
  <si>
    <t xml:space="preserve">Cricothyroid muscle - straight part R</t>
  </si>
  <si>
    <t xml:space="preserve">Cricothyroid muscle - straight part L</t>
  </si>
  <si>
    <t xml:space="preserve">Cricothyroid muscle - oblique part R</t>
  </si>
  <si>
    <t xml:space="preserve">Cricothyroid muscle - oblique part L</t>
  </si>
  <si>
    <t xml:space="preserve">Thyro-epiglottic part of thyro-arytenoid R</t>
  </si>
  <si>
    <t xml:space="preserve">Thyro-epiglottic part of thyro-arytenoid L</t>
  </si>
  <si>
    <t xml:space="preserve">Vocal fold cover R (lamina propria and epithelium)</t>
  </si>
  <si>
    <t xml:space="preserve">Mucosa and fold cover</t>
  </si>
  <si>
    <t xml:space="preserve">Vocal fold cover L (lamina propria and epithelium)</t>
  </si>
  <si>
    <t xml:space="preserve">Vestibular (false) fold R</t>
  </si>
  <si>
    <t xml:space="preserve">Vestibular (false) fold L</t>
  </si>
  <si>
    <t xml:space="preserve">Vestibular ligament R</t>
  </si>
  <si>
    <t xml:space="preserve">Vestibular ligament L</t>
  </si>
  <si>
    <t xml:space="preserve">Quadrangular membrane R</t>
  </si>
  <si>
    <t xml:space="preserve">Quadrangular membrane L</t>
  </si>
  <si>
    <t xml:space="preserve">Aryepiglottic fold R (mucosa, cuneiform and corniculate tubercles)</t>
  </si>
  <si>
    <t xml:space="preserve">Aryepiglottic fold L (mucosa, cuneiform and corniculate tubercles)</t>
  </si>
  <si>
    <t xml:space="preserve">Epiglottic tubercle</t>
  </si>
  <si>
    <t xml:space="preserve">Interarytenoid mucosa (posterior commissure)</t>
  </si>
  <si>
    <t xml:space="preserve">Ventricle lateral wall R (mucosa)</t>
  </si>
  <si>
    <t xml:space="preserve">Ventricle lateral wall L (mucosa)</t>
  </si>
  <si>
    <t xml:space="preserve">Vestibular mucosa R (over the quadrangular membrane and arytenoid)</t>
  </si>
  <si>
    <t xml:space="preserve">Vestibular mucosa L (over the quadrangular membrane and arytenoid)</t>
  </si>
  <si>
    <t xml:space="preserve">Anterior vestibule wall (mucosa over the petiole and thyroid angle)</t>
  </si>
  <si>
    <t xml:space="preserve">Tongue base and vallecula (with glossoepiglottic folds)</t>
  </si>
  <si>
    <t xml:space="preserve">Pre-epiglottic fat</t>
  </si>
  <si>
    <t xml:space="preserve">Fat</t>
  </si>
  <si>
    <t xml:space="preserve">Paraglottic fat R</t>
  </si>
  <si>
    <t xml:space="preserve">Paraglottic fat L</t>
  </si>
  <si>
    <t xml:space="preserve">Anterior commissure tendon (Broyles)</t>
  </si>
  <si>
    <t xml:space="preserve">Cricoarytenoid joint capsule R</t>
  </si>
  <si>
    <t xml:space="preserve">Cricoarytenoid joint capsule L</t>
  </si>
  <si>
    <t xml:space="preserve">Cricothyroid joint capsule R</t>
  </si>
  <si>
    <t xml:space="preserve">Cricothyroid joint capsule L</t>
  </si>
  <si>
    <t xml:space="preserve">Piriform fossa lining R</t>
  </si>
  <si>
    <t xml:space="preserve">Piriform fossa lining L</t>
  </si>
  <si>
    <t xml:space="preserve">Inferior pharyngeal constrictor R</t>
  </si>
  <si>
    <t xml:space="preserve">Inferior pharyngeal constrictor L</t>
  </si>
  <si>
    <t xml:space="preserve">Oesophagus (upper end, cut at the base)</t>
  </si>
  <si>
    <t xml:space="preserve">Hypopharyngeal mucosa (postcricoid and posterior wall)</t>
  </si>
  <si>
    <t xml:space="preserve">Volume by filament slot (mm3)</t>
  </si>
  <si>
    <t xml:space="preserve">All parts</t>
  </si>
  <si>
    <t xml:space="preserve">Union (overlaps removed, cracks closed)</t>
  </si>
  <si>
    <t xml:space="preserve">Parts count</t>
  </si>
  <si>
    <t xml:space="preserve">Kind: source = BodyParts3D mesh (warped or scaled); constructed = built from published dimensions; derived = split out of a source mesh. Priority: the higher part keeps the volume where two overlap.</t>
  </si>
  <si>
    <t xml:space="preserve">Independent review of version 6 (three passes, reviewer had not seen the build) and the recorded residuals</t>
  </si>
  <si>
    <t xml:space="preserve">Pass</t>
  </si>
  <si>
    <t xml:space="preserve">Severity</t>
  </si>
  <si>
    <t xml:space="preserve">Item</t>
  </si>
  <si>
    <t xml:space="preserve">Resolution</t>
  </si>
  <si>
    <t xml:space="preserve">Status</t>
  </si>
  <si>
    <t xml:space="preserve">should-fix</t>
  </si>
  <si>
    <t xml:space="preserve">Thyro-epiglottic ligament ended in the notch, 0.9 mm off cartilage</t>
  </si>
  <si>
    <t xml:space="preserve">Thyroid end moved 1.5 mm forward, 0.5 mm up (pass 2), then 2.3 forward, 2.0 up with priority above the vestibular ligaments (pass 3)</t>
  </si>
  <si>
    <t xml:space="preserve">residual: 0.7 mm off cartilage, held by the anterior vestibule wall</t>
  </si>
  <si>
    <t xml:space="preserve">Ventricle lateral wall was a mucosa-coloured slab filling the paraglottic slot</t>
  </si>
  <si>
    <t xml:space="preserve">Made a 0.8 mm lining; the slot behind it filled by fat (second paraglottic seed)</t>
  </si>
  <si>
    <t xml:space="preserve">fixed</t>
  </si>
  <si>
    <t xml:space="preserve">Oesophagus 1 mm off the trachealis</t>
  </si>
  <si>
    <t xml:space="preserve">Moved onto the trachealis (after the stage1b fix below)</t>
  </si>
  <si>
    <t xml:space="preserve">Hypopharyngeal mucosa short of the inlet and of the arytenoid backs</t>
  </si>
  <si>
    <t xml:space="preserve">Lined wherever the constrictor lies within 2.5 mm; extended to the inlet</t>
  </si>
  <si>
    <t xml:space="preserve">residual: 0.4 mm seam at the inlet, hairline to the arytenoids (both close in the union)</t>
  </si>
  <si>
    <t xml:space="preserve">Quadrangular membrane edge fringes under 0.3 mm at 1x</t>
  </si>
  <si>
    <t xml:space="preserve">Accepted: 0.6 mm at 2x</t>
  </si>
  <si>
    <t xml:space="preserve">accepted</t>
  </si>
  <si>
    <t xml:space="preserve">Constrictor islands cut off by the mucosa carve</t>
  </si>
  <si>
    <t xml:space="preserve">Folded into the mucosa</t>
  </si>
  <si>
    <t xml:space="preserve">must-fix</t>
  </si>
  <si>
    <t xml:space="preserve">Oesophagus moved backwards instead of forwards</t>
  </si>
  <si>
    <t xml:space="preserve">Cause: the resume chain skipped the trachea fit after deform7 rewrote the source trachea, so the oesophagus was placed against the raw mesh. stage1b restored in every resume</t>
  </si>
  <si>
    <t xml:space="preserve">Saccule and ventricle recess walled by bare fat</t>
  </si>
  <si>
    <t xml:space="preserve">New lining step after the saccule carve converts the fat facing the air into mucosa and lines bare lamina</t>
  </si>
  <si>
    <t xml:space="preserve">Ligament had become a holed sheet (0.31 mm median)</t>
  </si>
  <si>
    <t xml:space="preserve">Vestibular ligaments (priority 58) were cutting it (57); ligament raised to 60</t>
  </si>
  <si>
    <t xml:space="preserve">fixed: solid, 2.0 mm median</t>
  </si>
  <si>
    <t xml:space="preserve">Ventricle lining fringes</t>
  </si>
  <si>
    <t xml:space="preserve">Accepted at 2x</t>
  </si>
  <si>
    <t xml:space="preserve">Mucosa 1.8 mm short of the oesophageal inlet</t>
  </si>
  <si>
    <t xml:space="preserve">Trachea top and oesophagus rim added to the lined surfaces above z+24</t>
  </si>
  <si>
    <t xml:space="preserve">fixed to a 0.4 mm seam</t>
  </si>
  <si>
    <t xml:space="preserve">accept</t>
  </si>
  <si>
    <t xml:space="preserve">Fossa apex against the posterior ventricle with one 0.8 mm layer between</t>
  </si>
  <si>
    <t xml:space="preserve">A 1.5-2 mm paraglottic layer would be more typical</t>
  </si>
  <si>
    <t xml:space="preserve">v7 item</t>
  </si>
  <si>
    <t xml:space="preserve">Fossae 8.5-9.5 mm wide against 14-15 in life</t>
  </si>
  <si>
    <t xml:space="preserve">Framework lamina is 19 mm from the midline</t>
  </si>
  <si>
    <t xml:space="preserve">v7 item (framework)</t>
  </si>
  <si>
    <t xml:space="preserve">Hypopharynx collapsed: constrictor directly on the larynx, mucosa as a layer not a lumen</t>
  </si>
  <si>
    <t xml:space="preserve">As in the source</t>
  </si>
  <si>
    <t xml:space="preserve">recorded</t>
  </si>
  <si>
    <t xml:space="preserve">Tongue base is a flat-fronted block</t>
  </si>
  <si>
    <t xml:space="preserve">Constrictor upper border 8.6 mm above the hyoid</t>
  </si>
  <si>
    <t xml:space="preserve">No middle constrictor yet</t>
  </si>
  <si>
    <t xml:space="preserve">Cricothyroid oblique parts asymmetric (419 vs 496 mm3)</t>
  </si>
  <si>
    <t xml:space="preserve">Source asymmetry</t>
  </si>
  <si>
    <t xml:space="preserve">Arytenoid medial faces below the vocal process unlined</t>
  </si>
  <si>
    <t xml:space="preserve">Carried since v5</t>
  </si>
  <si>
    <t xml:space="preserve">Embedded crumbs: two 5 mm3 pieces of the anterior vestibule wall, 7 mm3 of the right ventricle lining</t>
  </si>
  <si>
    <t xml:space="preserve">Harmless in the union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</si>
</sst>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"/>
    <numFmt numFmtId="167" formatCode="0"/>
    <numFmt numFmtId="168" formatCode="0.00"/>
    <numFmt numFmtId="169" formatCode="#,##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B5B7A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B5B7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B5B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6"/>
    <col collapsed="false" customWidth="true" hidden="false" outlineLevel="0" max="3" min="3" style="0" width="4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36"/>
    <col collapsed="false" customWidth="true" hidden="false" outlineLevel="0" max="11" min="11" style="0" width="10"/>
    <col collapsed="false" customWidth="true" hidden="false" outlineLevel="0" max="13" min="12" style="0" width="12"/>
    <col collapsed="false" customWidth="true" hidden="false" outlineLevel="0" max="14" min="14" style="0" width="14"/>
  </cols>
  <sheetData>
    <row r="1" customFormat="false" ht="16.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31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26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customFormat="false" ht="15" hidden="false" customHeight="false" outlineLevel="0" collapsed="false">
      <c r="A5" s="2" t="s">
        <v>16</v>
      </c>
      <c r="B5" s="2" t="s">
        <v>17</v>
      </c>
      <c r="C5" s="2" t="s">
        <v>18</v>
      </c>
      <c r="D5" s="2" t="n">
        <v>1</v>
      </c>
      <c r="E5" s="5" t="n">
        <v>83093</v>
      </c>
      <c r="F5" s="6" t="n">
        <f aca="false">E5/3600</f>
        <v>23.0813888888889</v>
      </c>
      <c r="G5" s="7" t="n">
        <v>330.73</v>
      </c>
      <c r="H5" s="5" t="n">
        <v>0</v>
      </c>
      <c r="I5" s="7" t="n">
        <f aca="false">IF(F5&gt;0,G5/F5,0)</f>
        <v>14.3288604334902</v>
      </c>
      <c r="J5" s="2" t="s">
        <v>19</v>
      </c>
      <c r="K5" s="6" t="n">
        <v>13.5481388888889</v>
      </c>
      <c r="L5" s="7" t="n">
        <v>202.5</v>
      </c>
      <c r="M5" s="6" t="n">
        <f aca="false">F5-K5</f>
        <v>9.53325</v>
      </c>
      <c r="N5" s="7" t="n">
        <f aca="false">G5-L5</f>
        <v>128.23</v>
      </c>
    </row>
    <row r="6" customFormat="false" ht="15" hidden="false" customHeight="false" outlineLevel="0" collapsed="false">
      <c r="A6" s="2" t="s">
        <v>20</v>
      </c>
      <c r="B6" s="2" t="s">
        <v>17</v>
      </c>
      <c r="C6" s="2" t="s">
        <v>21</v>
      </c>
      <c r="D6" s="2" t="n">
        <v>1</v>
      </c>
      <c r="E6" s="5" t="n">
        <v>47347</v>
      </c>
      <c r="F6" s="6" t="n">
        <f aca="false">E6/3600</f>
        <v>13.1519444444444</v>
      </c>
      <c r="G6" s="7" t="n">
        <v>170.65</v>
      </c>
      <c r="H6" s="5" t="n">
        <v>0</v>
      </c>
      <c r="I6" s="7" t="n">
        <f aca="false">IF(F6&gt;0,G6/F6,0)</f>
        <v>12.9752677043952</v>
      </c>
      <c r="J6" s="2" t="s">
        <v>22</v>
      </c>
      <c r="K6" s="6" t="n">
        <v>16.5793888888889</v>
      </c>
      <c r="L6" s="7" t="n">
        <v>202.91</v>
      </c>
      <c r="M6" s="6" t="n">
        <f aca="false">F6-K6</f>
        <v>-3.42744444444445</v>
      </c>
      <c r="N6" s="7" t="n">
        <f aca="false">G6-L6</f>
        <v>-32.26</v>
      </c>
    </row>
    <row r="7" customFormat="false" ht="15" hidden="false" customHeight="false" outlineLevel="0" collapsed="false">
      <c r="A7" s="2" t="s">
        <v>23</v>
      </c>
      <c r="B7" s="2" t="s">
        <v>17</v>
      </c>
      <c r="C7" s="2" t="s">
        <v>24</v>
      </c>
      <c r="D7" s="2" t="n">
        <v>1</v>
      </c>
      <c r="E7" s="5" t="n">
        <v>47414</v>
      </c>
      <c r="F7" s="6" t="n">
        <f aca="false">E7/3600</f>
        <v>13.1705555555556</v>
      </c>
      <c r="G7" s="7" t="n">
        <v>170.48</v>
      </c>
      <c r="H7" s="5" t="n">
        <v>0</v>
      </c>
      <c r="I7" s="7" t="n">
        <f aca="false">IF(F7&gt;0,G7/F7,0)</f>
        <v>12.9440249715274</v>
      </c>
      <c r="J7" s="2" t="s">
        <v>25</v>
      </c>
      <c r="K7" s="6"/>
      <c r="L7" s="7"/>
      <c r="M7" s="6"/>
      <c r="N7" s="7"/>
    </row>
    <row r="8" customFormat="false" ht="15" hidden="false" customHeight="false" outlineLevel="0" collapsed="false">
      <c r="A8" s="2" t="s">
        <v>26</v>
      </c>
      <c r="B8" s="2" t="s">
        <v>17</v>
      </c>
      <c r="C8" s="2" t="s">
        <v>27</v>
      </c>
      <c r="D8" s="2" t="n">
        <v>7</v>
      </c>
      <c r="E8" s="5" t="n">
        <v>453823</v>
      </c>
      <c r="F8" s="6" t="n">
        <f aca="false">E8/3600</f>
        <v>126.061944444444</v>
      </c>
      <c r="G8" s="7" t="n">
        <v>1630.34</v>
      </c>
      <c r="H8" s="5" t="n">
        <v>3416</v>
      </c>
      <c r="I8" s="7" t="n">
        <f aca="false">IF(F8&gt;0,G8/F8,0)</f>
        <v>12.9328482690388</v>
      </c>
      <c r="J8" s="2" t="s">
        <v>28</v>
      </c>
      <c r="K8" s="6" t="n">
        <v>87.5762666666667</v>
      </c>
      <c r="L8" s="7" t="n">
        <v>1102.09</v>
      </c>
      <c r="M8" s="6" t="n">
        <f aca="false">F8-K8</f>
        <v>38.4856777777778</v>
      </c>
      <c r="N8" s="7" t="n">
        <f aca="false">G8-L8</f>
        <v>528.25</v>
      </c>
    </row>
    <row r="9" customFormat="false" ht="15" hidden="false" customHeight="false" outlineLevel="0" collapsed="false">
      <c r="A9" s="2" t="s">
        <v>29</v>
      </c>
      <c r="B9" s="2" t="s">
        <v>17</v>
      </c>
      <c r="C9" s="2" t="s">
        <v>30</v>
      </c>
      <c r="D9" s="2" t="n">
        <v>7</v>
      </c>
      <c r="E9" s="5" t="n">
        <v>190586</v>
      </c>
      <c r="F9" s="6" t="n">
        <f aca="false">E9/3600</f>
        <v>52.9405555555556</v>
      </c>
      <c r="G9" s="7" t="n">
        <v>656.51</v>
      </c>
      <c r="H9" s="5" t="n">
        <v>1325</v>
      </c>
      <c r="I9" s="7" t="n">
        <f aca="false">IF(F9&gt;0,G9/F9,0)</f>
        <v>12.4008898869802</v>
      </c>
      <c r="J9" s="2" t="s">
        <v>31</v>
      </c>
      <c r="K9" s="6" t="n">
        <v>39.7213972222222</v>
      </c>
      <c r="L9" s="7" t="n">
        <v>479.38</v>
      </c>
      <c r="M9" s="6" t="n">
        <f aca="false">F9-K9</f>
        <v>13.2191583333333</v>
      </c>
      <c r="N9" s="7" t="n">
        <f aca="false">G9-L9</f>
        <v>177.13</v>
      </c>
    </row>
    <row r="10" customFormat="false" ht="15" hidden="false" customHeight="false" outlineLevel="0" collapsed="false">
      <c r="A10" s="2" t="s">
        <v>32</v>
      </c>
      <c r="B10" s="2" t="s">
        <v>17</v>
      </c>
      <c r="C10" s="2" t="s">
        <v>33</v>
      </c>
      <c r="D10" s="2" t="n">
        <v>7</v>
      </c>
      <c r="E10" s="5" t="n">
        <v>190639</v>
      </c>
      <c r="F10" s="6" t="n">
        <f aca="false">E10/3600</f>
        <v>52.9552777777778</v>
      </c>
      <c r="G10" s="7" t="n">
        <v>656.71</v>
      </c>
      <c r="H10" s="5" t="n">
        <v>1326</v>
      </c>
      <c r="I10" s="7" t="n">
        <f aca="false">IF(F10&gt;0,G10/F10,0)</f>
        <v>12.4012190580102</v>
      </c>
      <c r="J10" s="2" t="s">
        <v>34</v>
      </c>
      <c r="K10" s="6" t="n">
        <v>40.0347222222222</v>
      </c>
      <c r="L10" s="7" t="n">
        <v>481.78</v>
      </c>
      <c r="M10" s="6" t="n">
        <f aca="false">F10-K10</f>
        <v>12.9205555555556</v>
      </c>
      <c r="N10" s="7" t="n">
        <f aca="false">G10-L10</f>
        <v>174.93</v>
      </c>
    </row>
    <row r="11" customFormat="false" ht="15" hidden="false" customHeight="false" outlineLevel="0" collapsed="false">
      <c r="A11" s="2" t="s">
        <v>35</v>
      </c>
      <c r="B11" s="2" t="s">
        <v>36</v>
      </c>
      <c r="C11" s="2" t="s">
        <v>37</v>
      </c>
      <c r="D11" s="2" t="n">
        <v>1</v>
      </c>
      <c r="E11" s="5" t="n">
        <v>19527</v>
      </c>
      <c r="F11" s="6" t="n">
        <f aca="false">E11/3600</f>
        <v>5.42416666666667</v>
      </c>
      <c r="G11" s="7" t="n">
        <v>54.02</v>
      </c>
      <c r="H11" s="5" t="n">
        <v>0</v>
      </c>
      <c r="I11" s="7" t="n">
        <f aca="false">IF(F11&gt;0,G11/F11,0)</f>
        <v>9.95913350745122</v>
      </c>
      <c r="J11" s="2" t="s">
        <v>38</v>
      </c>
      <c r="K11" s="6" t="n">
        <v>3.12221944444444</v>
      </c>
      <c r="L11" s="7" t="n">
        <v>31.41</v>
      </c>
      <c r="M11" s="6" t="n">
        <f aca="false">F11-K11</f>
        <v>2.30194722222222</v>
      </c>
      <c r="N11" s="7" t="n">
        <f aca="false">G11-L11</f>
        <v>22.61</v>
      </c>
    </row>
    <row r="12" customFormat="false" ht="15" hidden="false" customHeight="false" outlineLevel="0" collapsed="false">
      <c r="A12" s="2" t="s">
        <v>39</v>
      </c>
      <c r="B12" s="2" t="s">
        <v>36</v>
      </c>
      <c r="C12" s="2" t="s">
        <v>40</v>
      </c>
      <c r="D12" s="2" t="n">
        <v>1</v>
      </c>
      <c r="E12" s="5" t="n">
        <v>21340</v>
      </c>
      <c r="F12" s="6" t="n">
        <f aca="false">E12/3600</f>
        <v>5.92777777777778</v>
      </c>
      <c r="G12" s="7" t="n">
        <v>59.68</v>
      </c>
      <c r="H12" s="5" t="n">
        <v>0</v>
      </c>
      <c r="I12" s="7" t="n">
        <f aca="false">IF(F12&gt;0,G12/F12,0)</f>
        <v>10.0678537956888</v>
      </c>
      <c r="J12" s="2" t="s">
        <v>41</v>
      </c>
      <c r="K12" s="6" t="n">
        <v>3.7505</v>
      </c>
      <c r="L12" s="7" t="n">
        <v>35.25</v>
      </c>
      <c r="M12" s="6" t="n">
        <f aca="false">F12-K12</f>
        <v>2.17727777777778</v>
      </c>
      <c r="N12" s="7" t="n">
        <f aca="false">G12-L12</f>
        <v>24.43</v>
      </c>
    </row>
    <row r="13" customFormat="false" ht="15" hidden="false" customHeight="false" outlineLevel="0" collapsed="false">
      <c r="A13" s="2" t="s">
        <v>42</v>
      </c>
      <c r="B13" s="2" t="s">
        <v>36</v>
      </c>
      <c r="C13" s="2" t="s">
        <v>43</v>
      </c>
      <c r="D13" s="2" t="n">
        <v>7</v>
      </c>
      <c r="E13" s="5" t="n">
        <v>216602</v>
      </c>
      <c r="F13" s="6" t="n">
        <f aca="false">E13/3600</f>
        <v>60.1672222222222</v>
      </c>
      <c r="G13" s="7" t="n">
        <v>724.78</v>
      </c>
      <c r="H13" s="5" t="n">
        <v>1714</v>
      </c>
      <c r="I13" s="7" t="n">
        <f aca="false">IF(F13&gt;0,G13/F13,0)</f>
        <v>12.0460937572137</v>
      </c>
      <c r="J13" s="2" t="s">
        <v>44</v>
      </c>
      <c r="K13" s="6" t="n">
        <v>41.3732166666667</v>
      </c>
      <c r="L13" s="7" t="n">
        <v>497.54</v>
      </c>
      <c r="M13" s="6" t="n">
        <f aca="false">F13-K13</f>
        <v>18.7940055555556</v>
      </c>
      <c r="N13" s="7" t="n">
        <f aca="false">G13-L13</f>
        <v>227.24</v>
      </c>
    </row>
    <row r="14" customFormat="false" ht="15" hidden="false" customHeight="false" outlineLevel="0" collapsed="false">
      <c r="A14" s="2" t="s">
        <v>45</v>
      </c>
      <c r="B14" s="2" t="s">
        <v>36</v>
      </c>
      <c r="C14" s="2" t="s">
        <v>46</v>
      </c>
      <c r="D14" s="2" t="n">
        <v>7</v>
      </c>
      <c r="E14" s="5" t="n">
        <v>93751</v>
      </c>
      <c r="F14" s="6" t="n">
        <f aca="false">E14/3600</f>
        <v>26.0419444444444</v>
      </c>
      <c r="G14" s="7" t="n">
        <v>306.71</v>
      </c>
      <c r="H14" s="5" t="n">
        <v>661</v>
      </c>
      <c r="I14" s="7" t="n">
        <f aca="false">IF(F14&gt;0,G14/F14,0)</f>
        <v>11.777538372924</v>
      </c>
      <c r="J14" s="2" t="s">
        <v>47</v>
      </c>
      <c r="K14" s="6" t="n">
        <v>19.6935055555556</v>
      </c>
      <c r="L14" s="7" t="n">
        <v>228.03</v>
      </c>
      <c r="M14" s="6" t="n">
        <f aca="false">F14-K14</f>
        <v>6.34843888888889</v>
      </c>
      <c r="N14" s="7" t="n">
        <f aca="false">G14-L14</f>
        <v>78.68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customFormat="false" ht="15" hidden="false" customHeight="false" outlineLevel="0" collapsed="false">
      <c r="A16" s="8" t="s">
        <v>48</v>
      </c>
      <c r="B16" s="2"/>
      <c r="C16" s="2"/>
      <c r="D16" s="2"/>
      <c r="E16" s="2"/>
      <c r="F16" s="6" t="n">
        <f aca="false">SUMIF($D$5:$D$14,1,F5:F14)</f>
        <v>60.7558333333333</v>
      </c>
      <c r="G16" s="7" t="n">
        <f aca="false">SUMIF($D$5:$D$14,1,G5:G14)</f>
        <v>785.56</v>
      </c>
      <c r="H16" s="2"/>
      <c r="I16" s="2"/>
      <c r="J16" s="2"/>
      <c r="K16" s="2"/>
      <c r="L16" s="2"/>
      <c r="M16" s="2"/>
      <c r="N16" s="2"/>
    </row>
    <row r="17" customFormat="false" ht="15" hidden="false" customHeight="false" outlineLevel="0" collapsed="false">
      <c r="A17" s="8" t="s">
        <v>49</v>
      </c>
      <c r="B17" s="2"/>
      <c r="C17" s="2"/>
      <c r="D17" s="2"/>
      <c r="E17" s="2"/>
      <c r="F17" s="6" t="n">
        <f aca="false">SUMIF($D$5:$D$14,7,F5:F14)</f>
        <v>318.166944444444</v>
      </c>
      <c r="G17" s="7" t="n">
        <f aca="false">SUMIF($D$5:$D$14,7,G5:G14)</f>
        <v>3975.05</v>
      </c>
      <c r="H17" s="5" t="n">
        <f aca="false">SUMIF($D$5:$D$14,7,H5:H14)</f>
        <v>8442</v>
      </c>
      <c r="I17" s="2"/>
      <c r="J17" s="2"/>
      <c r="K17" s="2"/>
      <c r="L17" s="2"/>
      <c r="M17" s="2"/>
      <c r="N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customFormat="false" ht="31.5" hidden="false" customHeight="true" outlineLevel="0" collapsed="false">
      <c r="A19" s="3" t="s">
        <v>50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</sheetData>
  <mergeCells count="2">
    <mergeCell ref="A2:N2"/>
    <mergeCell ref="A19:N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60"/>
  </cols>
  <sheetData>
    <row r="1" customFormat="false" ht="16.15" hidden="false" customHeight="false" outlineLevel="0" collapsed="false">
      <c r="A1" s="1" t="s">
        <v>51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4" t="s">
        <v>52</v>
      </c>
      <c r="B3" s="4" t="s">
        <v>53</v>
      </c>
      <c r="C3" s="4" t="s">
        <v>54</v>
      </c>
      <c r="D3" s="4" t="s">
        <v>55</v>
      </c>
      <c r="E3" s="4" t="s">
        <v>56</v>
      </c>
    </row>
    <row r="4" customFormat="false" ht="15" hidden="false" customHeight="false" outlineLevel="0" collapsed="false">
      <c r="A4" s="9" t="s">
        <v>57</v>
      </c>
      <c r="B4" s="9" t="n">
        <v>81</v>
      </c>
      <c r="C4" s="9" t="n">
        <v>65</v>
      </c>
      <c r="D4" s="9"/>
      <c r="E4" s="9"/>
    </row>
    <row r="5" customFormat="false" ht="15" hidden="false" customHeight="false" outlineLevel="0" collapsed="false">
      <c r="A5" s="9" t="s">
        <v>58</v>
      </c>
      <c r="B5" s="9" t="n">
        <v>47.5</v>
      </c>
      <c r="C5" s="9" t="n">
        <v>23.5</v>
      </c>
      <c r="D5" s="9"/>
      <c r="E5" s="9" t="s">
        <v>59</v>
      </c>
    </row>
    <row r="6" customFormat="false" ht="26.85" hidden="false" customHeight="false" outlineLevel="0" collapsed="false">
      <c r="A6" s="9" t="s">
        <v>60</v>
      </c>
      <c r="B6" s="9" t="n">
        <v>0.27</v>
      </c>
      <c r="C6" s="9"/>
      <c r="D6" s="9"/>
      <c r="E6" s="9"/>
    </row>
    <row r="7" customFormat="false" ht="15" hidden="false" customHeight="false" outlineLevel="0" collapsed="false">
      <c r="A7" s="9" t="s">
        <v>61</v>
      </c>
      <c r="B7" s="9" t="n">
        <v>99</v>
      </c>
      <c r="C7" s="9" t="n">
        <v>101</v>
      </c>
      <c r="D7" s="9"/>
      <c r="E7" s="9" t="s">
        <v>62</v>
      </c>
    </row>
    <row r="8" customFormat="false" ht="15" hidden="false" customHeight="false" outlineLevel="0" collapsed="false">
      <c r="A8" s="9" t="s">
        <v>63</v>
      </c>
      <c r="B8" s="9" t="n">
        <v>7.7</v>
      </c>
      <c r="C8" s="9" t="n">
        <v>7.5</v>
      </c>
      <c r="D8" s="9"/>
      <c r="E8" s="9"/>
    </row>
    <row r="9" customFormat="false" ht="15" hidden="false" customHeight="false" outlineLevel="0" collapsed="false">
      <c r="A9" s="9" t="s">
        <v>64</v>
      </c>
      <c r="B9" s="9" t="n">
        <v>7.5</v>
      </c>
      <c r="C9" s="9" t="n">
        <v>7.5</v>
      </c>
      <c r="D9" s="9"/>
      <c r="E9" s="9"/>
    </row>
    <row r="10" customFormat="false" ht="15" hidden="false" customHeight="false" outlineLevel="0" collapsed="false">
      <c r="A10" s="9" t="s">
        <v>65</v>
      </c>
      <c r="B10" s="9" t="n">
        <v>30.5</v>
      </c>
      <c r="C10" s="9" t="n">
        <v>30.5</v>
      </c>
      <c r="D10" s="9" t="s">
        <v>66</v>
      </c>
      <c r="E10" s="9" t="s">
        <v>67</v>
      </c>
    </row>
    <row r="11" customFormat="false" ht="26.85" hidden="false" customHeight="false" outlineLevel="0" collapsed="false">
      <c r="A11" s="9" t="s">
        <v>68</v>
      </c>
      <c r="B11" s="9" t="n">
        <v>5</v>
      </c>
      <c r="C11" s="9" t="n">
        <v>0</v>
      </c>
      <c r="D11" s="9"/>
      <c r="E11" s="9" t="s">
        <v>69</v>
      </c>
    </row>
    <row r="12" customFormat="false" ht="15" hidden="false" customHeight="false" outlineLevel="0" collapsed="false">
      <c r="A12" s="9" t="s">
        <v>70</v>
      </c>
      <c r="B12" s="9" t="n">
        <v>3.64</v>
      </c>
      <c r="C12" s="9" t="s">
        <v>71</v>
      </c>
      <c r="D12" s="9"/>
      <c r="E12" s="9" t="s">
        <v>72</v>
      </c>
    </row>
    <row r="13" customFormat="false" ht="15" hidden="false" customHeight="false" outlineLevel="0" collapsed="false">
      <c r="A13" s="9" t="s">
        <v>73</v>
      </c>
      <c r="B13" s="9" t="n">
        <v>0.44</v>
      </c>
      <c r="C13" s="9" t="s">
        <v>74</v>
      </c>
      <c r="D13" s="9"/>
      <c r="E13" s="9" t="s">
        <v>75</v>
      </c>
    </row>
    <row r="14" customFormat="false" ht="15" hidden="false" customHeight="false" outlineLevel="0" collapsed="false">
      <c r="A14" s="9" t="s">
        <v>76</v>
      </c>
      <c r="B14" s="9" t="n">
        <v>0.43</v>
      </c>
      <c r="C14" s="9" t="s">
        <v>74</v>
      </c>
      <c r="D14" s="9"/>
      <c r="E14" s="9"/>
    </row>
    <row r="15" customFormat="false" ht="15" hidden="false" customHeight="false" outlineLevel="0" collapsed="false">
      <c r="A15" s="9" t="s">
        <v>77</v>
      </c>
      <c r="B15" s="10" t="n">
        <f aca="false">B12+B13+B14</f>
        <v>4.51</v>
      </c>
      <c r="C15" s="9"/>
      <c r="D15" s="9" t="s">
        <v>78</v>
      </c>
      <c r="E15" s="9" t="s">
        <v>79</v>
      </c>
    </row>
    <row r="16" customFormat="false" ht="15" hidden="false" customHeight="false" outlineLevel="0" collapsed="false">
      <c r="A16" s="9" t="s">
        <v>80</v>
      </c>
      <c r="B16" s="9" t="n">
        <v>1.73</v>
      </c>
      <c r="C16" s="9" t="s">
        <v>81</v>
      </c>
      <c r="D16" s="9" t="s">
        <v>82</v>
      </c>
      <c r="E16" s="9" t="s">
        <v>83</v>
      </c>
    </row>
    <row r="17" customFormat="false" ht="15" hidden="false" customHeight="false" outlineLevel="0" collapsed="false">
      <c r="A17" s="9" t="s">
        <v>84</v>
      </c>
      <c r="B17" s="9" t="s">
        <v>85</v>
      </c>
      <c r="C17" s="9" t="s">
        <v>81</v>
      </c>
      <c r="D17" s="9" t="s">
        <v>86</v>
      </c>
      <c r="E17" s="9" t="s">
        <v>87</v>
      </c>
    </row>
    <row r="18" customFormat="false" ht="26.85" hidden="false" customHeight="false" outlineLevel="0" collapsed="false">
      <c r="A18" s="9" t="s">
        <v>88</v>
      </c>
      <c r="B18" s="9" t="s">
        <v>89</v>
      </c>
      <c r="C18" s="9" t="s">
        <v>81</v>
      </c>
      <c r="D18" s="9" t="s">
        <v>90</v>
      </c>
      <c r="E18" s="9" t="s">
        <v>91</v>
      </c>
    </row>
    <row r="19" customFormat="false" ht="15" hidden="false" customHeight="false" outlineLevel="0" collapsed="false">
      <c r="A19" s="9" t="s">
        <v>92</v>
      </c>
      <c r="B19" s="9" t="n">
        <v>8</v>
      </c>
      <c r="C19" s="9" t="s">
        <v>81</v>
      </c>
      <c r="D19" s="9" t="s">
        <v>93</v>
      </c>
      <c r="E19" s="9" t="s">
        <v>94</v>
      </c>
    </row>
    <row r="20" customFormat="false" ht="15" hidden="false" customHeight="false" outlineLevel="0" collapsed="false">
      <c r="A20" s="9" t="s">
        <v>95</v>
      </c>
      <c r="B20" s="9" t="s">
        <v>96</v>
      </c>
      <c r="C20" s="9" t="s">
        <v>81</v>
      </c>
      <c r="D20" s="9"/>
      <c r="E20" s="9" t="s">
        <v>97</v>
      </c>
    </row>
    <row r="21" customFormat="false" ht="15" hidden="false" customHeight="false" outlineLevel="0" collapsed="false">
      <c r="A21" s="9" t="s">
        <v>98</v>
      </c>
      <c r="B21" s="9" t="s">
        <v>99</v>
      </c>
      <c r="C21" s="9" t="s">
        <v>81</v>
      </c>
      <c r="D21" s="9"/>
      <c r="E21" s="9" t="s">
        <v>100</v>
      </c>
    </row>
    <row r="22" customFormat="false" ht="15" hidden="false" customHeight="false" outlineLevel="0" collapsed="false">
      <c r="A22" s="9" t="s">
        <v>101</v>
      </c>
      <c r="B22" s="9" t="s">
        <v>102</v>
      </c>
      <c r="C22" s="9" t="s">
        <v>81</v>
      </c>
      <c r="D22" s="9"/>
      <c r="E22" s="9"/>
    </row>
    <row r="23" customFormat="false" ht="15" hidden="false" customHeight="false" outlineLevel="0" collapsed="false">
      <c r="A23" s="9" t="s">
        <v>103</v>
      </c>
      <c r="B23" s="9" t="n">
        <v>2.7</v>
      </c>
      <c r="C23" s="9" t="s">
        <v>81</v>
      </c>
      <c r="D23" s="9"/>
      <c r="E23" s="9"/>
    </row>
    <row r="24" customFormat="false" ht="15" hidden="false" customHeight="false" outlineLevel="0" collapsed="false">
      <c r="A24" s="9" t="s">
        <v>104</v>
      </c>
      <c r="B24" s="9" t="s">
        <v>105</v>
      </c>
      <c r="C24" s="9" t="s">
        <v>81</v>
      </c>
      <c r="D24" s="9"/>
      <c r="E24" s="9" t="s">
        <v>106</v>
      </c>
    </row>
    <row r="25" customFormat="false" ht="15" hidden="false" customHeight="false" outlineLevel="0" collapsed="false">
      <c r="A25" s="9" t="s">
        <v>107</v>
      </c>
      <c r="B25" s="9" t="n">
        <v>0.97</v>
      </c>
      <c r="C25" s="9" t="s">
        <v>81</v>
      </c>
      <c r="D25" s="9"/>
      <c r="E25" s="9" t="s">
        <v>108</v>
      </c>
    </row>
    <row r="26" customFormat="false" ht="15" hidden="false" customHeight="false" outlineLevel="0" collapsed="false">
      <c r="A26" s="9" t="s">
        <v>109</v>
      </c>
      <c r="B26" s="9" t="n">
        <v>3.18</v>
      </c>
      <c r="C26" s="9" t="s">
        <v>81</v>
      </c>
      <c r="D26" s="9"/>
      <c r="E26" s="9" t="s">
        <v>110</v>
      </c>
    </row>
    <row r="27" customFormat="false" ht="15" hidden="false" customHeight="false" outlineLevel="0" collapsed="false">
      <c r="A27" s="9" t="s">
        <v>111</v>
      </c>
      <c r="B27" s="9" t="n">
        <v>7.79</v>
      </c>
      <c r="C27" s="9" t="s">
        <v>81</v>
      </c>
      <c r="D27" s="9"/>
      <c r="E27" s="9" t="s">
        <v>112</v>
      </c>
    </row>
    <row r="28" customFormat="false" ht="15" hidden="false" customHeight="false" outlineLevel="0" collapsed="false">
      <c r="A28" s="9" t="s">
        <v>113</v>
      </c>
      <c r="B28" s="9" t="n">
        <v>0.8</v>
      </c>
      <c r="C28" s="9" t="n">
        <v>1.4</v>
      </c>
      <c r="D28" s="9"/>
      <c r="E28" s="9"/>
    </row>
    <row r="29" customFormat="false" ht="15" hidden="false" customHeight="false" outlineLevel="0" collapsed="false">
      <c r="A29" s="9" t="s">
        <v>114</v>
      </c>
      <c r="B29" s="9" t="s">
        <v>115</v>
      </c>
      <c r="C29" s="9" t="s">
        <v>115</v>
      </c>
      <c r="D29" s="9"/>
      <c r="E29" s="9"/>
    </row>
    <row r="30" customFormat="false" ht="15" hidden="false" customHeight="false" outlineLevel="0" collapsed="false">
      <c r="A30" s="9" t="s">
        <v>116</v>
      </c>
      <c r="B30" s="9" t="s">
        <v>117</v>
      </c>
      <c r="C30" s="9" t="s">
        <v>118</v>
      </c>
      <c r="D30" s="9"/>
      <c r="E30" s="9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8"/>
    <col collapsed="false" customWidth="true" hidden="false" outlineLevel="0" max="3" min="3" style="0" width="22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9"/>
  </cols>
  <sheetData>
    <row r="1" customFormat="false" ht="16.15" hidden="false" customHeight="false" outlineLevel="0" collapsed="false">
      <c r="A1" s="1" t="s">
        <v>120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52.2" hidden="false" customHeight="false" outlineLevel="0" collapsed="false">
      <c r="A3" s="4" t="s">
        <v>121</v>
      </c>
      <c r="B3" s="4" t="s">
        <v>122</v>
      </c>
      <c r="C3" s="4" t="s">
        <v>123</v>
      </c>
      <c r="D3" s="4" t="s">
        <v>124</v>
      </c>
      <c r="E3" s="4" t="s">
        <v>125</v>
      </c>
      <c r="F3" s="4" t="s">
        <v>126</v>
      </c>
      <c r="G3" s="4" t="s">
        <v>127</v>
      </c>
      <c r="H3" s="4" t="s">
        <v>128</v>
      </c>
      <c r="I3" s="4" t="s">
        <v>129</v>
      </c>
    </row>
    <row r="4" customFormat="false" ht="15" hidden="false" customHeight="false" outlineLevel="0" collapsed="false">
      <c r="A4" s="2" t="n">
        <v>1</v>
      </c>
      <c r="B4" s="2" t="s">
        <v>130</v>
      </c>
      <c r="C4" s="2" t="s">
        <v>131</v>
      </c>
      <c r="D4" s="2" t="n">
        <v>1</v>
      </c>
      <c r="E4" s="2" t="n">
        <v>90</v>
      </c>
      <c r="F4" s="2" t="s">
        <v>132</v>
      </c>
      <c r="G4" s="11" t="n">
        <v>1455.1</v>
      </c>
      <c r="H4" s="2" t="s">
        <v>115</v>
      </c>
      <c r="I4" s="5" t="n">
        <v>32288</v>
      </c>
    </row>
    <row r="5" customFormat="false" ht="15" hidden="false" customHeight="false" outlineLevel="0" collapsed="false">
      <c r="A5" s="2" t="n">
        <v>2</v>
      </c>
      <c r="B5" s="2" t="s">
        <v>133</v>
      </c>
      <c r="C5" s="2" t="s">
        <v>134</v>
      </c>
      <c r="D5" s="2" t="n">
        <v>2</v>
      </c>
      <c r="E5" s="2" t="n">
        <v>85</v>
      </c>
      <c r="F5" s="2" t="s">
        <v>132</v>
      </c>
      <c r="G5" s="11" t="n">
        <v>4242</v>
      </c>
      <c r="H5" s="2" t="s">
        <v>115</v>
      </c>
      <c r="I5" s="5" t="n">
        <v>93748</v>
      </c>
    </row>
    <row r="6" customFormat="false" ht="15" hidden="false" customHeight="false" outlineLevel="0" collapsed="false">
      <c r="A6" s="2" t="n">
        <v>3</v>
      </c>
      <c r="B6" s="2" t="s">
        <v>135</v>
      </c>
      <c r="C6" s="2" t="s">
        <v>134</v>
      </c>
      <c r="D6" s="2" t="n">
        <v>2</v>
      </c>
      <c r="E6" s="2" t="n">
        <v>85</v>
      </c>
      <c r="F6" s="2" t="s">
        <v>132</v>
      </c>
      <c r="G6" s="11" t="n">
        <v>4034.9</v>
      </c>
      <c r="H6" s="2" t="s">
        <v>115</v>
      </c>
      <c r="I6" s="5" t="n">
        <v>55340</v>
      </c>
    </row>
    <row r="7" customFormat="false" ht="15" hidden="false" customHeight="false" outlineLevel="0" collapsed="false">
      <c r="A7" s="2" t="n">
        <v>4</v>
      </c>
      <c r="B7" s="2" t="s">
        <v>136</v>
      </c>
      <c r="C7" s="2" t="s">
        <v>134</v>
      </c>
      <c r="D7" s="2" t="n">
        <v>2</v>
      </c>
      <c r="E7" s="2" t="n">
        <v>84</v>
      </c>
      <c r="F7" s="2" t="s">
        <v>132</v>
      </c>
      <c r="G7" s="11" t="n">
        <v>253.8</v>
      </c>
      <c r="H7" s="2" t="s">
        <v>115</v>
      </c>
      <c r="I7" s="5" t="n">
        <v>6332</v>
      </c>
    </row>
    <row r="8" customFormat="false" ht="15" hidden="false" customHeight="false" outlineLevel="0" collapsed="false">
      <c r="A8" s="2" t="n">
        <v>5</v>
      </c>
      <c r="B8" s="2" t="s">
        <v>137</v>
      </c>
      <c r="C8" s="2" t="s">
        <v>134</v>
      </c>
      <c r="D8" s="2" t="n">
        <v>2</v>
      </c>
      <c r="E8" s="2" t="n">
        <v>84</v>
      </c>
      <c r="F8" s="2" t="s">
        <v>132</v>
      </c>
      <c r="G8" s="11" t="n">
        <v>250.2</v>
      </c>
      <c r="H8" s="2" t="s">
        <v>115</v>
      </c>
      <c r="I8" s="5" t="n">
        <v>6274</v>
      </c>
    </row>
    <row r="9" customFormat="false" ht="15" hidden="false" customHeight="false" outlineLevel="0" collapsed="false">
      <c r="A9" s="2" t="n">
        <v>6</v>
      </c>
      <c r="B9" s="2" t="s">
        <v>138</v>
      </c>
      <c r="C9" s="2" t="s">
        <v>139</v>
      </c>
      <c r="D9" s="2" t="n">
        <v>3</v>
      </c>
      <c r="E9" s="2" t="n">
        <v>83</v>
      </c>
      <c r="F9" s="2" t="s">
        <v>132</v>
      </c>
      <c r="G9" s="11" t="n">
        <v>4.8</v>
      </c>
      <c r="H9" s="2" t="s">
        <v>115</v>
      </c>
      <c r="I9" s="5" t="n">
        <v>500</v>
      </c>
    </row>
    <row r="10" customFormat="false" ht="15" hidden="false" customHeight="false" outlineLevel="0" collapsed="false">
      <c r="A10" s="2" t="n">
        <v>7</v>
      </c>
      <c r="B10" s="2" t="s">
        <v>140</v>
      </c>
      <c r="C10" s="2" t="s">
        <v>139</v>
      </c>
      <c r="D10" s="2" t="n">
        <v>3</v>
      </c>
      <c r="E10" s="2" t="n">
        <v>83</v>
      </c>
      <c r="F10" s="2" t="s">
        <v>132</v>
      </c>
      <c r="G10" s="11" t="n">
        <v>5.1</v>
      </c>
      <c r="H10" s="2" t="s">
        <v>115</v>
      </c>
      <c r="I10" s="5" t="n">
        <v>500</v>
      </c>
    </row>
    <row r="11" customFormat="false" ht="15" hidden="false" customHeight="false" outlineLevel="0" collapsed="false">
      <c r="A11" s="2" t="n">
        <v>8</v>
      </c>
      <c r="B11" s="2" t="s">
        <v>141</v>
      </c>
      <c r="C11" s="2" t="s">
        <v>139</v>
      </c>
      <c r="D11" s="2" t="n">
        <v>3</v>
      </c>
      <c r="E11" s="2" t="n">
        <v>83</v>
      </c>
      <c r="F11" s="2" t="s">
        <v>132</v>
      </c>
      <c r="G11" s="11" t="n">
        <v>11.1</v>
      </c>
      <c r="H11" s="2" t="s">
        <v>115</v>
      </c>
      <c r="I11" s="5" t="n">
        <v>646</v>
      </c>
    </row>
    <row r="12" customFormat="false" ht="15" hidden="false" customHeight="false" outlineLevel="0" collapsed="false">
      <c r="A12" s="2" t="n">
        <v>9</v>
      </c>
      <c r="B12" s="2" t="s">
        <v>142</v>
      </c>
      <c r="C12" s="2" t="s">
        <v>139</v>
      </c>
      <c r="D12" s="2" t="n">
        <v>3</v>
      </c>
      <c r="E12" s="2" t="n">
        <v>83</v>
      </c>
      <c r="F12" s="2" t="s">
        <v>132</v>
      </c>
      <c r="G12" s="11" t="n">
        <v>10.9</v>
      </c>
      <c r="H12" s="2" t="s">
        <v>115</v>
      </c>
      <c r="I12" s="5" t="n">
        <v>656</v>
      </c>
    </row>
    <row r="13" customFormat="false" ht="15" hidden="false" customHeight="false" outlineLevel="0" collapsed="false">
      <c r="A13" s="2" t="n">
        <v>10</v>
      </c>
      <c r="B13" s="2" t="s">
        <v>143</v>
      </c>
      <c r="C13" s="2" t="s">
        <v>139</v>
      </c>
      <c r="D13" s="2" t="n">
        <v>3</v>
      </c>
      <c r="E13" s="2" t="n">
        <v>82</v>
      </c>
      <c r="F13" s="2" t="s">
        <v>132</v>
      </c>
      <c r="G13" s="11" t="n">
        <v>413</v>
      </c>
      <c r="H13" s="2" t="s">
        <v>115</v>
      </c>
      <c r="I13" s="5" t="n">
        <v>20176</v>
      </c>
    </row>
    <row r="14" customFormat="false" ht="15" hidden="false" customHeight="false" outlineLevel="0" collapsed="false">
      <c r="A14" s="2" t="n">
        <v>11</v>
      </c>
      <c r="B14" s="2" t="s">
        <v>144</v>
      </c>
      <c r="C14" s="2" t="s">
        <v>134</v>
      </c>
      <c r="D14" s="2" t="n">
        <v>2</v>
      </c>
      <c r="E14" s="2" t="n">
        <v>80</v>
      </c>
      <c r="F14" s="2" t="s">
        <v>132</v>
      </c>
      <c r="G14" s="11" t="n">
        <v>1240.5</v>
      </c>
      <c r="H14" s="2" t="s">
        <v>115</v>
      </c>
      <c r="I14" s="5" t="n">
        <v>41320</v>
      </c>
    </row>
    <row r="15" customFormat="false" ht="15" hidden="false" customHeight="false" outlineLevel="0" collapsed="false">
      <c r="A15" s="2" t="n">
        <v>33</v>
      </c>
      <c r="B15" s="2" t="s">
        <v>145</v>
      </c>
      <c r="C15" s="2" t="s">
        <v>146</v>
      </c>
      <c r="D15" s="2" t="n">
        <v>4</v>
      </c>
      <c r="E15" s="2" t="n">
        <v>80</v>
      </c>
      <c r="F15" s="2" t="s">
        <v>147</v>
      </c>
      <c r="G15" s="11" t="n">
        <v>627.7</v>
      </c>
      <c r="H15" s="2" t="s">
        <v>115</v>
      </c>
      <c r="I15" s="5" t="n">
        <v>16284</v>
      </c>
    </row>
    <row r="16" customFormat="false" ht="15" hidden="false" customHeight="false" outlineLevel="0" collapsed="false">
      <c r="A16" s="2" t="n">
        <v>34</v>
      </c>
      <c r="B16" s="2" t="s">
        <v>148</v>
      </c>
      <c r="C16" s="2" t="s">
        <v>146</v>
      </c>
      <c r="D16" s="2" t="n">
        <v>4</v>
      </c>
      <c r="E16" s="2" t="n">
        <v>80</v>
      </c>
      <c r="F16" s="2" t="s">
        <v>147</v>
      </c>
      <c r="G16" s="11" t="n">
        <v>579</v>
      </c>
      <c r="H16" s="2" t="s">
        <v>115</v>
      </c>
      <c r="I16" s="5" t="n">
        <v>28736</v>
      </c>
    </row>
    <row r="17" customFormat="false" ht="15" hidden="false" customHeight="false" outlineLevel="0" collapsed="false">
      <c r="A17" s="2" t="n">
        <v>12</v>
      </c>
      <c r="B17" s="2" t="s">
        <v>149</v>
      </c>
      <c r="C17" s="2" t="s">
        <v>146</v>
      </c>
      <c r="D17" s="2" t="n">
        <v>4</v>
      </c>
      <c r="E17" s="2" t="n">
        <v>70</v>
      </c>
      <c r="F17" s="2" t="s">
        <v>132</v>
      </c>
      <c r="G17" s="11" t="n">
        <v>5.5</v>
      </c>
      <c r="H17" s="2" t="s">
        <v>115</v>
      </c>
      <c r="I17" s="5" t="n">
        <v>800</v>
      </c>
    </row>
    <row r="18" customFormat="false" ht="15" hidden="false" customHeight="false" outlineLevel="0" collapsed="false">
      <c r="A18" s="2" t="n">
        <v>13</v>
      </c>
      <c r="B18" s="2" t="s">
        <v>150</v>
      </c>
      <c r="C18" s="2" t="s">
        <v>146</v>
      </c>
      <c r="D18" s="2" t="n">
        <v>4</v>
      </c>
      <c r="E18" s="2" t="n">
        <v>70</v>
      </c>
      <c r="F18" s="2" t="s">
        <v>132</v>
      </c>
      <c r="G18" s="11" t="n">
        <v>5.5</v>
      </c>
      <c r="H18" s="2" t="s">
        <v>115</v>
      </c>
      <c r="I18" s="5" t="n">
        <v>796</v>
      </c>
    </row>
    <row r="19" customFormat="false" ht="15" hidden="false" customHeight="false" outlineLevel="0" collapsed="false">
      <c r="A19" s="2" t="n">
        <v>14</v>
      </c>
      <c r="B19" s="2" t="s">
        <v>151</v>
      </c>
      <c r="C19" s="2" t="s">
        <v>146</v>
      </c>
      <c r="D19" s="2" t="n">
        <v>4</v>
      </c>
      <c r="E19" s="2" t="n">
        <v>60</v>
      </c>
      <c r="F19" s="2" t="s">
        <v>132</v>
      </c>
      <c r="G19" s="11" t="n">
        <v>204.9</v>
      </c>
      <c r="H19" s="2" t="s">
        <v>115</v>
      </c>
      <c r="I19" s="5" t="n">
        <v>13072</v>
      </c>
    </row>
    <row r="20" customFormat="false" ht="15" hidden="false" customHeight="false" outlineLevel="0" collapsed="false">
      <c r="A20" s="2" t="n">
        <v>15</v>
      </c>
      <c r="B20" s="2" t="s">
        <v>152</v>
      </c>
      <c r="C20" s="2" t="s">
        <v>146</v>
      </c>
      <c r="D20" s="2" t="n">
        <v>4</v>
      </c>
      <c r="E20" s="2" t="n">
        <v>60</v>
      </c>
      <c r="F20" s="2" t="s">
        <v>132</v>
      </c>
      <c r="G20" s="11" t="n">
        <v>204</v>
      </c>
      <c r="H20" s="2" t="s">
        <v>115</v>
      </c>
      <c r="I20" s="5" t="n">
        <v>12996</v>
      </c>
    </row>
    <row r="21" customFormat="false" ht="15" hidden="false" customHeight="false" outlineLevel="0" collapsed="false">
      <c r="A21" s="2" t="n">
        <v>16</v>
      </c>
      <c r="B21" s="2" t="s">
        <v>153</v>
      </c>
      <c r="C21" s="2" t="s">
        <v>146</v>
      </c>
      <c r="D21" s="2" t="n">
        <v>4</v>
      </c>
      <c r="E21" s="2" t="n">
        <v>62</v>
      </c>
      <c r="F21" s="2" t="s">
        <v>132</v>
      </c>
      <c r="G21" s="11" t="n">
        <v>92.9</v>
      </c>
      <c r="H21" s="2" t="s">
        <v>115</v>
      </c>
      <c r="I21" s="5" t="n">
        <v>4732</v>
      </c>
    </row>
    <row r="22" customFormat="false" ht="15" hidden="false" customHeight="false" outlineLevel="0" collapsed="false">
      <c r="A22" s="2" t="n">
        <v>17</v>
      </c>
      <c r="B22" s="2" t="s">
        <v>154</v>
      </c>
      <c r="C22" s="2" t="s">
        <v>146</v>
      </c>
      <c r="D22" s="2" t="n">
        <v>4</v>
      </c>
      <c r="E22" s="2" t="n">
        <v>55</v>
      </c>
      <c r="F22" s="2" t="s">
        <v>132</v>
      </c>
      <c r="G22" s="11" t="n">
        <v>312.9</v>
      </c>
      <c r="H22" s="2" t="s">
        <v>115</v>
      </c>
      <c r="I22" s="5" t="n">
        <v>16870</v>
      </c>
    </row>
    <row r="23" customFormat="false" ht="15" hidden="false" customHeight="false" outlineLevel="0" collapsed="false">
      <c r="A23" s="2" t="n">
        <v>18</v>
      </c>
      <c r="B23" s="2" t="s">
        <v>155</v>
      </c>
      <c r="C23" s="2" t="s">
        <v>146</v>
      </c>
      <c r="D23" s="2" t="n">
        <v>4</v>
      </c>
      <c r="E23" s="2" t="n">
        <v>55</v>
      </c>
      <c r="F23" s="2" t="s">
        <v>132</v>
      </c>
      <c r="G23" s="11" t="n">
        <v>310.9</v>
      </c>
      <c r="H23" s="2" t="s">
        <v>115</v>
      </c>
      <c r="I23" s="5" t="n">
        <v>16880</v>
      </c>
    </row>
    <row r="24" customFormat="false" ht="15" hidden="false" customHeight="false" outlineLevel="0" collapsed="false">
      <c r="A24" s="2" t="n">
        <v>19</v>
      </c>
      <c r="B24" s="2" t="s">
        <v>156</v>
      </c>
      <c r="C24" s="2" t="s">
        <v>146</v>
      </c>
      <c r="D24" s="2" t="n">
        <v>4</v>
      </c>
      <c r="E24" s="2" t="n">
        <v>56</v>
      </c>
      <c r="F24" s="2" t="s">
        <v>132</v>
      </c>
      <c r="G24" s="11" t="n">
        <v>190.2</v>
      </c>
      <c r="H24" s="2" t="s">
        <v>115</v>
      </c>
      <c r="I24" s="5" t="n">
        <v>10586</v>
      </c>
    </row>
    <row r="25" customFormat="false" ht="15" hidden="false" customHeight="false" outlineLevel="0" collapsed="false">
      <c r="A25" s="2" t="n">
        <v>20</v>
      </c>
      <c r="B25" s="2" t="s">
        <v>157</v>
      </c>
      <c r="C25" s="2" t="s">
        <v>146</v>
      </c>
      <c r="D25" s="2" t="n">
        <v>4</v>
      </c>
      <c r="E25" s="2" t="n">
        <v>56</v>
      </c>
      <c r="F25" s="2" t="s">
        <v>132</v>
      </c>
      <c r="G25" s="11" t="n">
        <v>40.6</v>
      </c>
      <c r="H25" s="2" t="s">
        <v>115</v>
      </c>
      <c r="I25" s="5" t="n">
        <v>2024</v>
      </c>
    </row>
    <row r="26" customFormat="false" ht="15" hidden="false" customHeight="false" outlineLevel="0" collapsed="false">
      <c r="A26" s="2" t="n">
        <v>21</v>
      </c>
      <c r="B26" s="2" t="s">
        <v>158</v>
      </c>
      <c r="C26" s="2" t="s">
        <v>146</v>
      </c>
      <c r="D26" s="2" t="n">
        <v>4</v>
      </c>
      <c r="E26" s="2" t="n">
        <v>56</v>
      </c>
      <c r="F26" s="2" t="s">
        <v>132</v>
      </c>
      <c r="G26" s="11" t="n">
        <v>40.2</v>
      </c>
      <c r="H26" s="2" t="s">
        <v>115</v>
      </c>
      <c r="I26" s="5" t="n">
        <v>1928</v>
      </c>
    </row>
    <row r="27" customFormat="false" ht="15" hidden="false" customHeight="false" outlineLevel="0" collapsed="false">
      <c r="A27" s="2" t="n">
        <v>22</v>
      </c>
      <c r="B27" s="2" t="s">
        <v>159</v>
      </c>
      <c r="C27" s="2" t="s">
        <v>146</v>
      </c>
      <c r="D27" s="2" t="n">
        <v>4</v>
      </c>
      <c r="E27" s="2" t="n">
        <v>57</v>
      </c>
      <c r="F27" s="2" t="s">
        <v>132</v>
      </c>
      <c r="G27" s="11" t="n">
        <v>290</v>
      </c>
      <c r="H27" s="2" t="s">
        <v>115</v>
      </c>
      <c r="I27" s="5" t="n">
        <v>6384</v>
      </c>
    </row>
    <row r="28" customFormat="false" ht="15" hidden="false" customHeight="false" outlineLevel="0" collapsed="false">
      <c r="A28" s="2" t="n">
        <v>23</v>
      </c>
      <c r="B28" s="2" t="s">
        <v>160</v>
      </c>
      <c r="C28" s="2" t="s">
        <v>146</v>
      </c>
      <c r="D28" s="2" t="n">
        <v>4</v>
      </c>
      <c r="E28" s="2" t="n">
        <v>60</v>
      </c>
      <c r="F28" s="2" t="s">
        <v>132</v>
      </c>
      <c r="G28" s="11" t="n">
        <v>24.7</v>
      </c>
      <c r="H28" s="2" t="s">
        <v>115</v>
      </c>
      <c r="I28" s="5" t="n">
        <v>1364</v>
      </c>
    </row>
    <row r="29" customFormat="false" ht="15" hidden="false" customHeight="false" outlineLevel="0" collapsed="false">
      <c r="A29" s="2" t="n">
        <v>24</v>
      </c>
      <c r="B29" s="2" t="s">
        <v>161</v>
      </c>
      <c r="C29" s="2" t="s">
        <v>162</v>
      </c>
      <c r="D29" s="2" t="n">
        <v>5</v>
      </c>
      <c r="E29" s="2" t="n">
        <v>50</v>
      </c>
      <c r="F29" s="2" t="s">
        <v>132</v>
      </c>
      <c r="G29" s="11" t="n">
        <v>102.8</v>
      </c>
      <c r="H29" s="2" t="s">
        <v>115</v>
      </c>
      <c r="I29" s="5" t="n">
        <v>4868</v>
      </c>
    </row>
    <row r="30" customFormat="false" ht="15" hidden="false" customHeight="false" outlineLevel="0" collapsed="false">
      <c r="A30" s="2" t="n">
        <v>25</v>
      </c>
      <c r="B30" s="2" t="s">
        <v>163</v>
      </c>
      <c r="C30" s="2" t="s">
        <v>162</v>
      </c>
      <c r="D30" s="2" t="n">
        <v>5</v>
      </c>
      <c r="E30" s="2" t="n">
        <v>50</v>
      </c>
      <c r="F30" s="2" t="s">
        <v>132</v>
      </c>
      <c r="G30" s="11" t="n">
        <v>97.3</v>
      </c>
      <c r="H30" s="2" t="s">
        <v>115</v>
      </c>
      <c r="I30" s="5" t="n">
        <v>4808</v>
      </c>
    </row>
    <row r="31" customFormat="false" ht="15" hidden="false" customHeight="false" outlineLevel="0" collapsed="false">
      <c r="A31" s="2" t="n">
        <v>26</v>
      </c>
      <c r="B31" s="2" t="s">
        <v>164</v>
      </c>
      <c r="C31" s="2" t="s">
        <v>162</v>
      </c>
      <c r="D31" s="2" t="n">
        <v>5</v>
      </c>
      <c r="E31" s="2" t="n">
        <v>51</v>
      </c>
      <c r="F31" s="2" t="s">
        <v>132</v>
      </c>
      <c r="G31" s="11" t="n">
        <v>141.2</v>
      </c>
      <c r="H31" s="2" t="s">
        <v>115</v>
      </c>
      <c r="I31" s="5" t="n">
        <v>6938</v>
      </c>
    </row>
    <row r="32" customFormat="false" ht="15" hidden="false" customHeight="false" outlineLevel="0" collapsed="false">
      <c r="A32" s="2" t="n">
        <v>27</v>
      </c>
      <c r="B32" s="2" t="s">
        <v>165</v>
      </c>
      <c r="C32" s="2" t="s">
        <v>162</v>
      </c>
      <c r="D32" s="2" t="n">
        <v>5</v>
      </c>
      <c r="E32" s="2" t="n">
        <v>51</v>
      </c>
      <c r="F32" s="2" t="s">
        <v>132</v>
      </c>
      <c r="G32" s="11" t="n">
        <v>153.9</v>
      </c>
      <c r="H32" s="2" t="s">
        <v>115</v>
      </c>
      <c r="I32" s="5" t="n">
        <v>7100</v>
      </c>
    </row>
    <row r="33" customFormat="false" ht="15" hidden="false" customHeight="false" outlineLevel="0" collapsed="false">
      <c r="A33" s="2" t="n">
        <v>28</v>
      </c>
      <c r="B33" s="2" t="s">
        <v>166</v>
      </c>
      <c r="C33" s="2" t="s">
        <v>162</v>
      </c>
      <c r="D33" s="2" t="n">
        <v>5</v>
      </c>
      <c r="E33" s="2" t="n">
        <v>50</v>
      </c>
      <c r="F33" s="2" t="s">
        <v>132</v>
      </c>
      <c r="G33" s="11" t="n">
        <v>229.6</v>
      </c>
      <c r="H33" s="2" t="s">
        <v>115</v>
      </c>
      <c r="I33" s="5" t="n">
        <v>8888</v>
      </c>
    </row>
    <row r="34" customFormat="false" ht="15" hidden="false" customHeight="false" outlineLevel="0" collapsed="false">
      <c r="A34" s="2" t="n">
        <v>29</v>
      </c>
      <c r="B34" s="2" t="s">
        <v>167</v>
      </c>
      <c r="C34" s="2" t="s">
        <v>162</v>
      </c>
      <c r="D34" s="2" t="n">
        <v>5</v>
      </c>
      <c r="E34" s="2" t="n">
        <v>52</v>
      </c>
      <c r="F34" s="2" t="s">
        <v>132</v>
      </c>
      <c r="G34" s="11" t="n">
        <v>107.1</v>
      </c>
      <c r="H34" s="2" t="s">
        <v>115</v>
      </c>
      <c r="I34" s="5" t="n">
        <v>4680</v>
      </c>
    </row>
    <row r="35" customFormat="false" ht="15" hidden="false" customHeight="false" outlineLevel="0" collapsed="false">
      <c r="A35" s="2" t="n">
        <v>30</v>
      </c>
      <c r="B35" s="2" t="s">
        <v>168</v>
      </c>
      <c r="C35" s="2" t="s">
        <v>162</v>
      </c>
      <c r="D35" s="2" t="n">
        <v>5</v>
      </c>
      <c r="E35" s="2" t="n">
        <v>53</v>
      </c>
      <c r="F35" s="2" t="s">
        <v>132</v>
      </c>
      <c r="G35" s="11" t="n">
        <v>121.8</v>
      </c>
      <c r="H35" s="2" t="s">
        <v>115</v>
      </c>
      <c r="I35" s="5" t="n">
        <v>5762</v>
      </c>
    </row>
    <row r="36" customFormat="false" ht="15" hidden="false" customHeight="false" outlineLevel="0" collapsed="false">
      <c r="A36" s="2" t="n">
        <v>31</v>
      </c>
      <c r="B36" s="2" t="s">
        <v>169</v>
      </c>
      <c r="C36" s="2" t="s">
        <v>162</v>
      </c>
      <c r="D36" s="2" t="n">
        <v>5</v>
      </c>
      <c r="E36" s="2" t="n">
        <v>44</v>
      </c>
      <c r="F36" s="2" t="s">
        <v>132</v>
      </c>
      <c r="G36" s="11" t="n">
        <v>34.6</v>
      </c>
      <c r="H36" s="2" t="s">
        <v>115</v>
      </c>
      <c r="I36" s="5" t="n">
        <v>4520</v>
      </c>
    </row>
    <row r="37" customFormat="false" ht="15" hidden="false" customHeight="false" outlineLevel="0" collapsed="false">
      <c r="A37" s="2" t="n">
        <v>32</v>
      </c>
      <c r="B37" s="2" t="s">
        <v>170</v>
      </c>
      <c r="C37" s="2" t="s">
        <v>162</v>
      </c>
      <c r="D37" s="2" t="n">
        <v>5</v>
      </c>
      <c r="E37" s="2" t="n">
        <v>44</v>
      </c>
      <c r="F37" s="2" t="s">
        <v>132</v>
      </c>
      <c r="G37" s="11" t="n">
        <v>34.4</v>
      </c>
      <c r="H37" s="2" t="s">
        <v>115</v>
      </c>
      <c r="I37" s="5" t="n">
        <v>4476</v>
      </c>
    </row>
    <row r="38" customFormat="false" ht="15" hidden="false" customHeight="false" outlineLevel="0" collapsed="false">
      <c r="A38" s="2" t="n">
        <v>35</v>
      </c>
      <c r="B38" s="2" t="s">
        <v>171</v>
      </c>
      <c r="C38" s="2" t="s">
        <v>146</v>
      </c>
      <c r="D38" s="2" t="n">
        <v>4</v>
      </c>
      <c r="E38" s="2" t="n">
        <v>58</v>
      </c>
      <c r="F38" s="2" t="s">
        <v>172</v>
      </c>
      <c r="G38" s="11" t="n">
        <v>4</v>
      </c>
      <c r="H38" s="2" t="s">
        <v>115</v>
      </c>
      <c r="I38" s="5" t="n">
        <v>500</v>
      </c>
    </row>
    <row r="39" customFormat="false" ht="15" hidden="false" customHeight="false" outlineLevel="0" collapsed="false">
      <c r="A39" s="2" t="n">
        <v>36</v>
      </c>
      <c r="B39" s="2" t="s">
        <v>173</v>
      </c>
      <c r="C39" s="2" t="s">
        <v>146</v>
      </c>
      <c r="D39" s="2" t="n">
        <v>4</v>
      </c>
      <c r="E39" s="2" t="n">
        <v>58</v>
      </c>
      <c r="F39" s="2" t="s">
        <v>172</v>
      </c>
      <c r="G39" s="11" t="n">
        <v>4.1</v>
      </c>
      <c r="H39" s="2" t="s">
        <v>115</v>
      </c>
      <c r="I39" s="5" t="n">
        <v>496</v>
      </c>
    </row>
    <row r="40" customFormat="false" ht="15" hidden="false" customHeight="false" outlineLevel="0" collapsed="false">
      <c r="A40" s="2" t="n">
        <v>37</v>
      </c>
      <c r="B40" s="2" t="s">
        <v>174</v>
      </c>
      <c r="C40" s="2" t="s">
        <v>146</v>
      </c>
      <c r="D40" s="2" t="n">
        <v>4</v>
      </c>
      <c r="E40" s="2" t="n">
        <v>59</v>
      </c>
      <c r="F40" s="2" t="s">
        <v>147</v>
      </c>
      <c r="G40" s="11" t="n">
        <v>425.7</v>
      </c>
      <c r="H40" s="2" t="s">
        <v>115</v>
      </c>
      <c r="I40" s="5" t="n">
        <v>13682</v>
      </c>
    </row>
    <row r="41" customFormat="false" ht="15" hidden="false" customHeight="false" outlineLevel="0" collapsed="false">
      <c r="A41" s="2" t="n">
        <v>38</v>
      </c>
      <c r="B41" s="2" t="s">
        <v>175</v>
      </c>
      <c r="C41" s="2" t="s">
        <v>134</v>
      </c>
      <c r="D41" s="2" t="n">
        <v>2</v>
      </c>
      <c r="E41" s="2" t="n">
        <v>83</v>
      </c>
      <c r="F41" s="2" t="s">
        <v>172</v>
      </c>
      <c r="G41" s="11" t="n">
        <v>40.6</v>
      </c>
      <c r="H41" s="2" t="s">
        <v>115</v>
      </c>
      <c r="I41" s="5" t="n">
        <v>2710</v>
      </c>
    </row>
    <row r="42" customFormat="false" ht="15" hidden="false" customHeight="false" outlineLevel="0" collapsed="false">
      <c r="A42" s="2" t="n">
        <v>39</v>
      </c>
      <c r="B42" s="2" t="s">
        <v>176</v>
      </c>
      <c r="C42" s="2" t="s">
        <v>134</v>
      </c>
      <c r="D42" s="2" t="n">
        <v>2</v>
      </c>
      <c r="E42" s="2" t="n">
        <v>83</v>
      </c>
      <c r="F42" s="2" t="s">
        <v>172</v>
      </c>
      <c r="G42" s="11" t="n">
        <v>39.9</v>
      </c>
      <c r="H42" s="2" t="s">
        <v>115</v>
      </c>
      <c r="I42" s="5" t="n">
        <v>2572</v>
      </c>
    </row>
    <row r="43" customFormat="false" ht="15" hidden="false" customHeight="false" outlineLevel="0" collapsed="false">
      <c r="A43" s="2" t="n">
        <v>40</v>
      </c>
      <c r="B43" s="2" t="s">
        <v>177</v>
      </c>
      <c r="C43" s="2" t="s">
        <v>162</v>
      </c>
      <c r="D43" s="2" t="n">
        <v>5</v>
      </c>
      <c r="E43" s="2" t="n">
        <v>47</v>
      </c>
      <c r="F43" s="2" t="s">
        <v>172</v>
      </c>
      <c r="G43" s="11" t="n">
        <v>358.8</v>
      </c>
      <c r="H43" s="2" t="s">
        <v>115</v>
      </c>
      <c r="I43" s="5" t="n">
        <v>9402</v>
      </c>
    </row>
    <row r="44" customFormat="false" ht="15" hidden="false" customHeight="false" outlineLevel="0" collapsed="false">
      <c r="A44" s="2" t="n">
        <v>41</v>
      </c>
      <c r="B44" s="2" t="s">
        <v>178</v>
      </c>
      <c r="C44" s="2" t="s">
        <v>162</v>
      </c>
      <c r="D44" s="2" t="n">
        <v>5</v>
      </c>
      <c r="E44" s="2" t="n">
        <v>47</v>
      </c>
      <c r="F44" s="2" t="s">
        <v>172</v>
      </c>
      <c r="G44" s="11" t="n">
        <v>357.9</v>
      </c>
      <c r="H44" s="2" t="s">
        <v>115</v>
      </c>
      <c r="I44" s="5" t="n">
        <v>9386</v>
      </c>
    </row>
    <row r="45" customFormat="false" ht="15" hidden="false" customHeight="false" outlineLevel="0" collapsed="false">
      <c r="A45" s="2" t="n">
        <v>42</v>
      </c>
      <c r="B45" s="2" t="s">
        <v>179</v>
      </c>
      <c r="C45" s="2" t="s">
        <v>162</v>
      </c>
      <c r="D45" s="2" t="n">
        <v>5</v>
      </c>
      <c r="E45" s="2" t="n">
        <v>52</v>
      </c>
      <c r="F45" s="2" t="s">
        <v>172</v>
      </c>
      <c r="G45" s="11" t="n">
        <v>93</v>
      </c>
      <c r="H45" s="2" t="s">
        <v>115</v>
      </c>
      <c r="I45" s="5" t="n">
        <v>4098</v>
      </c>
    </row>
    <row r="46" customFormat="false" ht="15" hidden="false" customHeight="false" outlineLevel="0" collapsed="false">
      <c r="A46" s="2" t="n">
        <v>43</v>
      </c>
      <c r="B46" s="2" t="s">
        <v>180</v>
      </c>
      <c r="C46" s="2" t="s">
        <v>162</v>
      </c>
      <c r="D46" s="2" t="n">
        <v>5</v>
      </c>
      <c r="E46" s="2" t="n">
        <v>52</v>
      </c>
      <c r="F46" s="2" t="s">
        <v>172</v>
      </c>
      <c r="G46" s="11" t="n">
        <v>87.2</v>
      </c>
      <c r="H46" s="2" t="s">
        <v>115</v>
      </c>
      <c r="I46" s="5" t="n">
        <v>3808</v>
      </c>
    </row>
    <row r="47" customFormat="false" ht="15" hidden="false" customHeight="false" outlineLevel="0" collapsed="false">
      <c r="A47" s="2" t="n">
        <v>44</v>
      </c>
      <c r="B47" s="2" t="s">
        <v>181</v>
      </c>
      <c r="C47" s="2" t="s">
        <v>162</v>
      </c>
      <c r="D47" s="2" t="n">
        <v>5</v>
      </c>
      <c r="E47" s="2" t="n">
        <v>46</v>
      </c>
      <c r="F47" s="2" t="s">
        <v>172</v>
      </c>
      <c r="G47" s="11" t="n">
        <v>297.1</v>
      </c>
      <c r="H47" s="2" t="s">
        <v>115</v>
      </c>
      <c r="I47" s="5" t="n">
        <v>8154</v>
      </c>
    </row>
    <row r="48" customFormat="false" ht="15" hidden="false" customHeight="false" outlineLevel="0" collapsed="false">
      <c r="A48" s="2" t="n">
        <v>45</v>
      </c>
      <c r="B48" s="2" t="s">
        <v>182</v>
      </c>
      <c r="C48" s="2" t="s">
        <v>162</v>
      </c>
      <c r="D48" s="2" t="n">
        <v>5</v>
      </c>
      <c r="E48" s="2" t="n">
        <v>46</v>
      </c>
      <c r="F48" s="2" t="s">
        <v>172</v>
      </c>
      <c r="G48" s="11" t="n">
        <v>299</v>
      </c>
      <c r="H48" s="2" t="s">
        <v>115</v>
      </c>
      <c r="I48" s="5" t="n">
        <v>8474</v>
      </c>
    </row>
    <row r="49" customFormat="false" ht="15" hidden="false" customHeight="false" outlineLevel="0" collapsed="false">
      <c r="A49" s="2" t="n">
        <v>46</v>
      </c>
      <c r="B49" s="2" t="s">
        <v>183</v>
      </c>
      <c r="C49" s="2" t="s">
        <v>162</v>
      </c>
      <c r="D49" s="2" t="n">
        <v>5</v>
      </c>
      <c r="E49" s="2" t="n">
        <v>46</v>
      </c>
      <c r="F49" s="2" t="s">
        <v>172</v>
      </c>
      <c r="G49" s="11" t="n">
        <v>418.8</v>
      </c>
      <c r="H49" s="2" t="s">
        <v>115</v>
      </c>
      <c r="I49" s="5" t="n">
        <v>13434</v>
      </c>
    </row>
    <row r="50" customFormat="false" ht="15" hidden="false" customHeight="false" outlineLevel="0" collapsed="false">
      <c r="A50" s="2" t="n">
        <v>47</v>
      </c>
      <c r="B50" s="2" t="s">
        <v>184</v>
      </c>
      <c r="C50" s="2" t="s">
        <v>162</v>
      </c>
      <c r="D50" s="2" t="n">
        <v>5</v>
      </c>
      <c r="E50" s="2" t="n">
        <v>46</v>
      </c>
      <c r="F50" s="2" t="s">
        <v>172</v>
      </c>
      <c r="G50" s="11" t="n">
        <v>496.1</v>
      </c>
      <c r="H50" s="2" t="s">
        <v>115</v>
      </c>
      <c r="I50" s="5" t="n">
        <v>14200</v>
      </c>
    </row>
    <row r="51" customFormat="false" ht="15" hidden="false" customHeight="false" outlineLevel="0" collapsed="false">
      <c r="A51" s="2" t="n">
        <v>48</v>
      </c>
      <c r="B51" s="2" t="s">
        <v>185</v>
      </c>
      <c r="C51" s="2" t="s">
        <v>162</v>
      </c>
      <c r="D51" s="2" t="n">
        <v>5</v>
      </c>
      <c r="E51" s="2" t="n">
        <v>49</v>
      </c>
      <c r="F51" s="2" t="s">
        <v>172</v>
      </c>
      <c r="G51" s="11" t="n">
        <v>111.6</v>
      </c>
      <c r="H51" s="2" t="s">
        <v>115</v>
      </c>
      <c r="I51" s="5" t="n">
        <v>5942</v>
      </c>
    </row>
    <row r="52" customFormat="false" ht="15" hidden="false" customHeight="false" outlineLevel="0" collapsed="false">
      <c r="A52" s="2" t="n">
        <v>49</v>
      </c>
      <c r="B52" s="2" t="s">
        <v>186</v>
      </c>
      <c r="C52" s="2" t="s">
        <v>162</v>
      </c>
      <c r="D52" s="2" t="n">
        <v>5</v>
      </c>
      <c r="E52" s="2" t="n">
        <v>49</v>
      </c>
      <c r="F52" s="2" t="s">
        <v>172</v>
      </c>
      <c r="G52" s="11" t="n">
        <v>106.5</v>
      </c>
      <c r="H52" s="2" t="s">
        <v>115</v>
      </c>
      <c r="I52" s="5" t="n">
        <v>5702</v>
      </c>
    </row>
    <row r="53" customFormat="false" ht="15" hidden="false" customHeight="false" outlineLevel="0" collapsed="false">
      <c r="A53" s="2" t="n">
        <v>50</v>
      </c>
      <c r="B53" s="2" t="s">
        <v>187</v>
      </c>
      <c r="C53" s="2" t="s">
        <v>188</v>
      </c>
      <c r="D53" s="2" t="n">
        <v>6</v>
      </c>
      <c r="E53" s="2" t="n">
        <v>40</v>
      </c>
      <c r="F53" s="2" t="s">
        <v>172</v>
      </c>
      <c r="G53" s="11" t="n">
        <v>188.8</v>
      </c>
      <c r="H53" s="2" t="s">
        <v>115</v>
      </c>
      <c r="I53" s="5" t="n">
        <v>10608</v>
      </c>
    </row>
    <row r="54" customFormat="false" ht="15" hidden="false" customHeight="false" outlineLevel="0" collapsed="false">
      <c r="A54" s="2" t="n">
        <v>51</v>
      </c>
      <c r="B54" s="2" t="s">
        <v>189</v>
      </c>
      <c r="C54" s="2" t="s">
        <v>188</v>
      </c>
      <c r="D54" s="2" t="n">
        <v>6</v>
      </c>
      <c r="E54" s="2" t="n">
        <v>40</v>
      </c>
      <c r="F54" s="2" t="s">
        <v>172</v>
      </c>
      <c r="G54" s="11" t="n">
        <v>187.9</v>
      </c>
      <c r="H54" s="2" t="s">
        <v>115</v>
      </c>
      <c r="I54" s="5" t="n">
        <v>10292</v>
      </c>
    </row>
    <row r="55" customFormat="false" ht="15" hidden="false" customHeight="false" outlineLevel="0" collapsed="false">
      <c r="A55" s="2" t="n">
        <v>52</v>
      </c>
      <c r="B55" s="2" t="s">
        <v>190</v>
      </c>
      <c r="C55" s="2" t="s">
        <v>188</v>
      </c>
      <c r="D55" s="2" t="n">
        <v>6</v>
      </c>
      <c r="E55" s="2" t="n">
        <v>46</v>
      </c>
      <c r="F55" s="2" t="s">
        <v>172</v>
      </c>
      <c r="G55" s="11" t="n">
        <v>358.8</v>
      </c>
      <c r="H55" s="2" t="s">
        <v>115</v>
      </c>
      <c r="I55" s="5" t="n">
        <v>11968</v>
      </c>
    </row>
    <row r="56" customFormat="false" ht="15" hidden="false" customHeight="false" outlineLevel="0" collapsed="false">
      <c r="A56" s="2" t="n">
        <v>53</v>
      </c>
      <c r="B56" s="2" t="s">
        <v>191</v>
      </c>
      <c r="C56" s="2" t="s">
        <v>188</v>
      </c>
      <c r="D56" s="2" t="n">
        <v>6</v>
      </c>
      <c r="E56" s="2" t="n">
        <v>46</v>
      </c>
      <c r="F56" s="2" t="s">
        <v>172</v>
      </c>
      <c r="G56" s="11" t="n">
        <v>357.7</v>
      </c>
      <c r="H56" s="2" t="s">
        <v>115</v>
      </c>
      <c r="I56" s="5" t="n">
        <v>11922</v>
      </c>
    </row>
    <row r="57" customFormat="false" ht="15" hidden="false" customHeight="false" outlineLevel="0" collapsed="false">
      <c r="A57" s="2" t="n">
        <v>54</v>
      </c>
      <c r="B57" s="2" t="s">
        <v>192</v>
      </c>
      <c r="C57" s="2" t="s">
        <v>146</v>
      </c>
      <c r="D57" s="2" t="n">
        <v>4</v>
      </c>
      <c r="E57" s="2" t="n">
        <v>58</v>
      </c>
      <c r="F57" s="2" t="s">
        <v>172</v>
      </c>
      <c r="G57" s="11" t="n">
        <v>20.4</v>
      </c>
      <c r="H57" s="2" t="s">
        <v>115</v>
      </c>
      <c r="I57" s="5" t="n">
        <v>1912</v>
      </c>
    </row>
    <row r="58" customFormat="false" ht="15" hidden="false" customHeight="false" outlineLevel="0" collapsed="false">
      <c r="A58" s="2" t="n">
        <v>55</v>
      </c>
      <c r="B58" s="2" t="s">
        <v>193</v>
      </c>
      <c r="C58" s="2" t="s">
        <v>146</v>
      </c>
      <c r="D58" s="2" t="n">
        <v>4</v>
      </c>
      <c r="E58" s="2" t="n">
        <v>58</v>
      </c>
      <c r="F58" s="2" t="s">
        <v>172</v>
      </c>
      <c r="G58" s="11" t="n">
        <v>20.1</v>
      </c>
      <c r="H58" s="2" t="s">
        <v>115</v>
      </c>
      <c r="I58" s="5" t="n">
        <v>1892</v>
      </c>
    </row>
    <row r="59" customFormat="false" ht="15" hidden="false" customHeight="false" outlineLevel="0" collapsed="false">
      <c r="A59" s="2" t="n">
        <v>56</v>
      </c>
      <c r="B59" s="2" t="s">
        <v>194</v>
      </c>
      <c r="C59" s="2" t="s">
        <v>146</v>
      </c>
      <c r="D59" s="2" t="n">
        <v>4</v>
      </c>
      <c r="E59" s="2" t="n">
        <v>45</v>
      </c>
      <c r="F59" s="2" t="s">
        <v>172</v>
      </c>
      <c r="G59" s="11" t="n">
        <v>240.8</v>
      </c>
      <c r="H59" s="2" t="s">
        <v>115</v>
      </c>
      <c r="I59" s="5" t="n">
        <v>14160</v>
      </c>
    </row>
    <row r="60" customFormat="false" ht="15" hidden="false" customHeight="false" outlineLevel="0" collapsed="false">
      <c r="A60" s="2" t="n">
        <v>57</v>
      </c>
      <c r="B60" s="2" t="s">
        <v>195</v>
      </c>
      <c r="C60" s="2" t="s">
        <v>146</v>
      </c>
      <c r="D60" s="2" t="n">
        <v>4</v>
      </c>
      <c r="E60" s="2" t="n">
        <v>45</v>
      </c>
      <c r="F60" s="2" t="s">
        <v>172</v>
      </c>
      <c r="G60" s="11" t="n">
        <v>240.4</v>
      </c>
      <c r="H60" s="2" t="s">
        <v>115</v>
      </c>
      <c r="I60" s="5" t="n">
        <v>14418</v>
      </c>
    </row>
    <row r="61" customFormat="false" ht="15" hidden="false" customHeight="false" outlineLevel="0" collapsed="false">
      <c r="A61" s="2" t="n">
        <v>58</v>
      </c>
      <c r="B61" s="2" t="s">
        <v>196</v>
      </c>
      <c r="C61" s="2" t="s">
        <v>188</v>
      </c>
      <c r="D61" s="2" t="n">
        <v>6</v>
      </c>
      <c r="E61" s="2" t="n">
        <v>37</v>
      </c>
      <c r="F61" s="2" t="s">
        <v>172</v>
      </c>
      <c r="G61" s="11" t="n">
        <v>456</v>
      </c>
      <c r="H61" s="2" t="s">
        <v>115</v>
      </c>
      <c r="I61" s="5" t="n">
        <v>18126</v>
      </c>
    </row>
    <row r="62" customFormat="false" ht="15" hidden="false" customHeight="false" outlineLevel="0" collapsed="false">
      <c r="A62" s="2" t="n">
        <v>59</v>
      </c>
      <c r="B62" s="2" t="s">
        <v>197</v>
      </c>
      <c r="C62" s="2" t="s">
        <v>188</v>
      </c>
      <c r="D62" s="2" t="n">
        <v>6</v>
      </c>
      <c r="E62" s="2" t="n">
        <v>37</v>
      </c>
      <c r="F62" s="2" t="s">
        <v>172</v>
      </c>
      <c r="G62" s="11" t="n">
        <v>448.4</v>
      </c>
      <c r="H62" s="2" t="s">
        <v>115</v>
      </c>
      <c r="I62" s="5" t="n">
        <v>17992</v>
      </c>
    </row>
    <row r="63" customFormat="false" ht="15" hidden="false" customHeight="false" outlineLevel="0" collapsed="false">
      <c r="A63" s="2" t="n">
        <v>60</v>
      </c>
      <c r="B63" s="2" t="s">
        <v>198</v>
      </c>
      <c r="C63" s="2" t="s">
        <v>188</v>
      </c>
      <c r="D63" s="2" t="n">
        <v>6</v>
      </c>
      <c r="E63" s="2" t="n">
        <v>36</v>
      </c>
      <c r="F63" s="2" t="s">
        <v>172</v>
      </c>
      <c r="G63" s="11" t="n">
        <v>75.2</v>
      </c>
      <c r="H63" s="2" t="s">
        <v>115</v>
      </c>
      <c r="I63" s="5" t="n">
        <v>2844</v>
      </c>
    </row>
    <row r="64" customFormat="false" ht="15" hidden="false" customHeight="false" outlineLevel="0" collapsed="false">
      <c r="A64" s="2" t="n">
        <v>61</v>
      </c>
      <c r="B64" s="2" t="s">
        <v>199</v>
      </c>
      <c r="C64" s="2" t="s">
        <v>188</v>
      </c>
      <c r="D64" s="2" t="n">
        <v>6</v>
      </c>
      <c r="E64" s="2" t="n">
        <v>35</v>
      </c>
      <c r="F64" s="2" t="s">
        <v>172</v>
      </c>
      <c r="G64" s="11" t="n">
        <v>104.4</v>
      </c>
      <c r="H64" s="2" t="s">
        <v>115</v>
      </c>
      <c r="I64" s="5" t="n">
        <v>4196</v>
      </c>
    </row>
    <row r="65" customFormat="false" ht="15" hidden="false" customHeight="false" outlineLevel="0" collapsed="false">
      <c r="A65" s="2" t="n">
        <v>62</v>
      </c>
      <c r="B65" s="2" t="s">
        <v>200</v>
      </c>
      <c r="C65" s="2" t="s">
        <v>188</v>
      </c>
      <c r="D65" s="2" t="n">
        <v>6</v>
      </c>
      <c r="E65" s="2" t="n">
        <v>34</v>
      </c>
      <c r="F65" s="2" t="s">
        <v>172</v>
      </c>
      <c r="G65" s="11" t="n">
        <v>268.9</v>
      </c>
      <c r="H65" s="2" t="s">
        <v>115</v>
      </c>
      <c r="I65" s="5" t="n">
        <v>19362</v>
      </c>
    </row>
    <row r="66" customFormat="false" ht="15" hidden="false" customHeight="false" outlineLevel="0" collapsed="false">
      <c r="A66" s="2" t="n">
        <v>63</v>
      </c>
      <c r="B66" s="2" t="s">
        <v>201</v>
      </c>
      <c r="C66" s="2" t="s">
        <v>188</v>
      </c>
      <c r="D66" s="2" t="n">
        <v>6</v>
      </c>
      <c r="E66" s="2" t="n">
        <v>34</v>
      </c>
      <c r="F66" s="2" t="s">
        <v>172</v>
      </c>
      <c r="G66" s="11" t="n">
        <v>282.2</v>
      </c>
      <c r="H66" s="2" t="s">
        <v>115</v>
      </c>
      <c r="I66" s="5" t="n">
        <v>19934</v>
      </c>
    </row>
    <row r="67" customFormat="false" ht="15" hidden="false" customHeight="false" outlineLevel="0" collapsed="false">
      <c r="A67" s="2" t="n">
        <v>64</v>
      </c>
      <c r="B67" s="2" t="s">
        <v>202</v>
      </c>
      <c r="C67" s="2" t="s">
        <v>188</v>
      </c>
      <c r="D67" s="2" t="n">
        <v>6</v>
      </c>
      <c r="E67" s="2" t="n">
        <v>33</v>
      </c>
      <c r="F67" s="2" t="s">
        <v>172</v>
      </c>
      <c r="G67" s="11" t="n">
        <v>195.2</v>
      </c>
      <c r="H67" s="2" t="s">
        <v>115</v>
      </c>
      <c r="I67" s="5" t="n">
        <v>11808</v>
      </c>
    </row>
    <row r="68" customFormat="false" ht="15" hidden="false" customHeight="false" outlineLevel="0" collapsed="false">
      <c r="A68" s="2" t="n">
        <v>65</v>
      </c>
      <c r="B68" s="2" t="s">
        <v>203</v>
      </c>
      <c r="C68" s="2" t="s">
        <v>188</v>
      </c>
      <c r="D68" s="2" t="n">
        <v>6</v>
      </c>
      <c r="E68" s="2" t="n">
        <v>33</v>
      </c>
      <c r="F68" s="2" t="s">
        <v>172</v>
      </c>
      <c r="G68" s="11" t="n">
        <v>199.7</v>
      </c>
      <c r="H68" s="2" t="s">
        <v>115</v>
      </c>
      <c r="I68" s="5" t="n">
        <v>12130</v>
      </c>
    </row>
    <row r="69" customFormat="false" ht="15" hidden="false" customHeight="false" outlineLevel="0" collapsed="false">
      <c r="A69" s="2" t="n">
        <v>66</v>
      </c>
      <c r="B69" s="2" t="s">
        <v>204</v>
      </c>
      <c r="C69" s="2" t="s">
        <v>188</v>
      </c>
      <c r="D69" s="2" t="n">
        <v>6</v>
      </c>
      <c r="E69" s="2" t="n">
        <v>32</v>
      </c>
      <c r="F69" s="2" t="s">
        <v>172</v>
      </c>
      <c r="G69" s="11" t="n">
        <v>194.1</v>
      </c>
      <c r="H69" s="2" t="s">
        <v>115</v>
      </c>
      <c r="I69" s="5" t="n">
        <v>8658</v>
      </c>
    </row>
    <row r="70" customFormat="false" ht="15" hidden="false" customHeight="false" outlineLevel="0" collapsed="false">
      <c r="A70" s="2" t="n">
        <v>67</v>
      </c>
      <c r="B70" s="2" t="s">
        <v>205</v>
      </c>
      <c r="C70" s="2" t="s">
        <v>188</v>
      </c>
      <c r="D70" s="2" t="n">
        <v>6</v>
      </c>
      <c r="E70" s="2" t="n">
        <v>34</v>
      </c>
      <c r="F70" s="2" t="s">
        <v>172</v>
      </c>
      <c r="G70" s="11" t="n">
        <v>7787.4</v>
      </c>
      <c r="H70" s="2" t="s">
        <v>115</v>
      </c>
      <c r="I70" s="5" t="n">
        <v>56820</v>
      </c>
    </row>
    <row r="71" customFormat="false" ht="15" hidden="false" customHeight="false" outlineLevel="0" collapsed="false">
      <c r="A71" s="2" t="n">
        <v>68</v>
      </c>
      <c r="B71" s="2" t="s">
        <v>206</v>
      </c>
      <c r="C71" s="2" t="s">
        <v>207</v>
      </c>
      <c r="D71" s="2" t="n">
        <v>7</v>
      </c>
      <c r="E71" s="2" t="n">
        <v>29</v>
      </c>
      <c r="F71" s="2" t="s">
        <v>172</v>
      </c>
      <c r="G71" s="11" t="n">
        <v>3640.4</v>
      </c>
      <c r="H71" s="2" t="s">
        <v>115</v>
      </c>
      <c r="I71" s="5" t="n">
        <v>39738</v>
      </c>
    </row>
    <row r="72" customFormat="false" ht="15" hidden="false" customHeight="false" outlineLevel="0" collapsed="false">
      <c r="A72" s="2" t="n">
        <v>69</v>
      </c>
      <c r="B72" s="2" t="s">
        <v>208</v>
      </c>
      <c r="C72" s="2" t="s">
        <v>207</v>
      </c>
      <c r="D72" s="2" t="n">
        <v>7</v>
      </c>
      <c r="E72" s="2" t="n">
        <v>28</v>
      </c>
      <c r="F72" s="2" t="s">
        <v>172</v>
      </c>
      <c r="G72" s="11" t="n">
        <v>437.8</v>
      </c>
      <c r="H72" s="2" t="s">
        <v>115</v>
      </c>
      <c r="I72" s="5" t="n">
        <v>12392</v>
      </c>
    </row>
    <row r="73" customFormat="false" ht="15" hidden="false" customHeight="false" outlineLevel="0" collapsed="false">
      <c r="A73" s="2" t="n">
        <v>70</v>
      </c>
      <c r="B73" s="2" t="s">
        <v>209</v>
      </c>
      <c r="C73" s="2" t="s">
        <v>207</v>
      </c>
      <c r="D73" s="2" t="n">
        <v>7</v>
      </c>
      <c r="E73" s="2" t="n">
        <v>28</v>
      </c>
      <c r="F73" s="2" t="s">
        <v>172</v>
      </c>
      <c r="G73" s="11" t="n">
        <v>433.2</v>
      </c>
      <c r="H73" s="2" t="s">
        <v>115</v>
      </c>
      <c r="I73" s="5" t="n">
        <v>12292</v>
      </c>
    </row>
    <row r="74" customFormat="false" ht="15" hidden="false" customHeight="false" outlineLevel="0" collapsed="false">
      <c r="A74" s="2" t="n">
        <v>71</v>
      </c>
      <c r="B74" s="2" t="s">
        <v>210</v>
      </c>
      <c r="C74" s="2" t="s">
        <v>146</v>
      </c>
      <c r="D74" s="2" t="n">
        <v>4</v>
      </c>
      <c r="E74" s="2" t="n">
        <v>57</v>
      </c>
      <c r="F74" s="2" t="s">
        <v>172</v>
      </c>
      <c r="G74" s="11" t="n">
        <v>2.7</v>
      </c>
      <c r="H74" s="2" t="s">
        <v>115</v>
      </c>
      <c r="I74" s="5" t="n">
        <v>500</v>
      </c>
    </row>
    <row r="75" customFormat="false" ht="15" hidden="false" customHeight="false" outlineLevel="0" collapsed="false">
      <c r="A75" s="2" t="n">
        <v>72</v>
      </c>
      <c r="B75" s="2" t="s">
        <v>211</v>
      </c>
      <c r="C75" s="2" t="s">
        <v>146</v>
      </c>
      <c r="D75" s="2" t="n">
        <v>4</v>
      </c>
      <c r="E75" s="2" t="n">
        <v>54</v>
      </c>
      <c r="F75" s="2" t="s">
        <v>172</v>
      </c>
      <c r="G75" s="11" t="n">
        <v>58.7</v>
      </c>
      <c r="H75" s="2" t="s">
        <v>115</v>
      </c>
      <c r="I75" s="5" t="n">
        <v>4326</v>
      </c>
    </row>
    <row r="76" customFormat="false" ht="15" hidden="false" customHeight="false" outlineLevel="0" collapsed="false">
      <c r="A76" s="2" t="n">
        <v>73</v>
      </c>
      <c r="B76" s="2" t="s">
        <v>212</v>
      </c>
      <c r="C76" s="2" t="s">
        <v>146</v>
      </c>
      <c r="D76" s="2" t="n">
        <v>4</v>
      </c>
      <c r="E76" s="2" t="n">
        <v>54</v>
      </c>
      <c r="F76" s="2" t="s">
        <v>172</v>
      </c>
      <c r="G76" s="11" t="n">
        <v>49</v>
      </c>
      <c r="H76" s="2" t="s">
        <v>115</v>
      </c>
      <c r="I76" s="5" t="n">
        <v>3440</v>
      </c>
    </row>
    <row r="77" customFormat="false" ht="15" hidden="false" customHeight="false" outlineLevel="0" collapsed="false">
      <c r="A77" s="2" t="n">
        <v>74</v>
      </c>
      <c r="B77" s="2" t="s">
        <v>213</v>
      </c>
      <c r="C77" s="2" t="s">
        <v>146</v>
      </c>
      <c r="D77" s="2" t="n">
        <v>4</v>
      </c>
      <c r="E77" s="2" t="n">
        <v>54</v>
      </c>
      <c r="F77" s="2" t="s">
        <v>172</v>
      </c>
      <c r="G77" s="11" t="n">
        <v>31.6</v>
      </c>
      <c r="H77" s="2" t="s">
        <v>115</v>
      </c>
      <c r="I77" s="5" t="n">
        <v>2264</v>
      </c>
    </row>
    <row r="78" customFormat="false" ht="15" hidden="false" customHeight="false" outlineLevel="0" collapsed="false">
      <c r="A78" s="2" t="n">
        <v>75</v>
      </c>
      <c r="B78" s="2" t="s">
        <v>214</v>
      </c>
      <c r="C78" s="2" t="s">
        <v>146</v>
      </c>
      <c r="D78" s="2" t="n">
        <v>4</v>
      </c>
      <c r="E78" s="2" t="n">
        <v>54</v>
      </c>
      <c r="F78" s="2" t="s">
        <v>172</v>
      </c>
      <c r="G78" s="11" t="n">
        <v>31.7</v>
      </c>
      <c r="H78" s="2" t="s">
        <v>115</v>
      </c>
      <c r="I78" s="5" t="n">
        <v>2264</v>
      </c>
    </row>
    <row r="79" customFormat="false" ht="15" hidden="false" customHeight="false" outlineLevel="0" collapsed="false">
      <c r="A79" s="2" t="n">
        <v>76</v>
      </c>
      <c r="B79" s="2" t="s">
        <v>215</v>
      </c>
      <c r="C79" s="2" t="s">
        <v>188</v>
      </c>
      <c r="D79" s="2" t="n">
        <v>6</v>
      </c>
      <c r="E79" s="2" t="n">
        <v>31</v>
      </c>
      <c r="F79" s="2" t="s">
        <v>172</v>
      </c>
      <c r="G79" s="11" t="n">
        <v>657.8</v>
      </c>
      <c r="H79" s="2" t="s">
        <v>115</v>
      </c>
      <c r="I79" s="5" t="n">
        <v>39512</v>
      </c>
    </row>
    <row r="80" customFormat="false" ht="15" hidden="false" customHeight="false" outlineLevel="0" collapsed="false">
      <c r="A80" s="2" t="n">
        <v>77</v>
      </c>
      <c r="B80" s="2" t="s">
        <v>216</v>
      </c>
      <c r="C80" s="2" t="s">
        <v>188</v>
      </c>
      <c r="D80" s="2" t="n">
        <v>6</v>
      </c>
      <c r="E80" s="2" t="n">
        <v>31</v>
      </c>
      <c r="F80" s="2" t="s">
        <v>172</v>
      </c>
      <c r="G80" s="11" t="n">
        <v>650.7</v>
      </c>
      <c r="H80" s="2" t="s">
        <v>115</v>
      </c>
      <c r="I80" s="5" t="n">
        <v>39248</v>
      </c>
    </row>
    <row r="81" customFormat="false" ht="15" hidden="false" customHeight="false" outlineLevel="0" collapsed="false">
      <c r="A81" s="2" t="n">
        <v>80</v>
      </c>
      <c r="B81" s="2" t="s">
        <v>217</v>
      </c>
      <c r="C81" s="2" t="s">
        <v>162</v>
      </c>
      <c r="D81" s="2" t="n">
        <v>5</v>
      </c>
      <c r="E81" s="2" t="n">
        <v>42</v>
      </c>
      <c r="F81" s="2" t="s">
        <v>132</v>
      </c>
      <c r="G81" s="11" t="n">
        <v>3153.8</v>
      </c>
      <c r="H81" s="2" t="s">
        <v>115</v>
      </c>
      <c r="I81" s="5" t="n">
        <v>61672</v>
      </c>
    </row>
    <row r="82" customFormat="false" ht="15" hidden="false" customHeight="false" outlineLevel="0" collapsed="false">
      <c r="A82" s="2" t="n">
        <v>81</v>
      </c>
      <c r="B82" s="2" t="s">
        <v>218</v>
      </c>
      <c r="C82" s="2" t="s">
        <v>162</v>
      </c>
      <c r="D82" s="2" t="n">
        <v>5</v>
      </c>
      <c r="E82" s="2" t="n">
        <v>42</v>
      </c>
      <c r="F82" s="2" t="s">
        <v>132</v>
      </c>
      <c r="G82" s="11" t="n">
        <v>3135.9</v>
      </c>
      <c r="H82" s="2" t="s">
        <v>115</v>
      </c>
      <c r="I82" s="5" t="n">
        <v>59716</v>
      </c>
    </row>
    <row r="83" customFormat="false" ht="15" hidden="false" customHeight="false" outlineLevel="0" collapsed="false">
      <c r="A83" s="2" t="n">
        <v>82</v>
      </c>
      <c r="B83" s="2" t="s">
        <v>219</v>
      </c>
      <c r="C83" s="2" t="s">
        <v>162</v>
      </c>
      <c r="D83" s="2" t="n">
        <v>5</v>
      </c>
      <c r="E83" s="2" t="n">
        <v>41</v>
      </c>
      <c r="F83" s="2" t="s">
        <v>172</v>
      </c>
      <c r="G83" s="11" t="n">
        <v>3181.1</v>
      </c>
      <c r="H83" s="2" t="s">
        <v>115</v>
      </c>
      <c r="I83" s="5" t="n">
        <v>37570</v>
      </c>
    </row>
    <row r="84" customFormat="false" ht="15" hidden="false" customHeight="false" outlineLevel="0" collapsed="false">
      <c r="A84" s="2" t="n">
        <v>83</v>
      </c>
      <c r="B84" s="2" t="s">
        <v>220</v>
      </c>
      <c r="C84" s="2" t="s">
        <v>188</v>
      </c>
      <c r="D84" s="2" t="n">
        <v>6</v>
      </c>
      <c r="E84" s="2" t="n">
        <v>26</v>
      </c>
      <c r="F84" s="2" t="s">
        <v>172</v>
      </c>
      <c r="G84" s="11" t="n">
        <v>971.3</v>
      </c>
      <c r="H84" s="2" t="s">
        <v>115</v>
      </c>
      <c r="I84" s="5" t="n">
        <v>60378</v>
      </c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</row>
    <row r="86" customFormat="false" ht="15" hidden="false" customHeight="false" outlineLevel="0" collapsed="false">
      <c r="A86" s="2"/>
      <c r="B86" s="8" t="s">
        <v>221</v>
      </c>
      <c r="C86" s="2"/>
      <c r="D86" s="2"/>
      <c r="E86" s="2"/>
      <c r="F86" s="2"/>
      <c r="G86" s="2"/>
      <c r="H86" s="2"/>
      <c r="I86" s="2"/>
    </row>
    <row r="87" customFormat="false" ht="15" hidden="false" customHeight="false" outlineLevel="0" collapsed="false">
      <c r="A87" s="2"/>
      <c r="B87" s="2" t="s">
        <v>131</v>
      </c>
      <c r="C87" s="2"/>
      <c r="D87" s="2" t="n">
        <v>1</v>
      </c>
      <c r="E87" s="2"/>
      <c r="F87" s="2"/>
      <c r="G87" s="5" t="n">
        <f aca="false">SUMIF($D$4:$D$84,D87,$G$4:$G$84)</f>
        <v>1455.1</v>
      </c>
      <c r="H87" s="2"/>
      <c r="I87" s="2"/>
    </row>
    <row r="88" customFormat="false" ht="15" hidden="false" customHeight="false" outlineLevel="0" collapsed="false">
      <c r="A88" s="2"/>
      <c r="B88" s="2" t="s">
        <v>134</v>
      </c>
      <c r="C88" s="2"/>
      <c r="D88" s="2" t="n">
        <v>2</v>
      </c>
      <c r="E88" s="2"/>
      <c r="F88" s="2"/>
      <c r="G88" s="5" t="n">
        <f aca="false">SUMIF($D$4:$D$84,D88,$G$4:$G$84)</f>
        <v>10101.9</v>
      </c>
      <c r="H88" s="2"/>
      <c r="I88" s="2"/>
    </row>
    <row r="89" customFormat="false" ht="15" hidden="false" customHeight="false" outlineLevel="0" collapsed="false">
      <c r="A89" s="2"/>
      <c r="B89" s="2" t="s">
        <v>139</v>
      </c>
      <c r="C89" s="2"/>
      <c r="D89" s="2" t="n">
        <v>3</v>
      </c>
      <c r="E89" s="2"/>
      <c r="F89" s="2"/>
      <c r="G89" s="5" t="n">
        <f aca="false">SUMIF($D$4:$D$84,D89,$G$4:$G$84)</f>
        <v>444.9</v>
      </c>
      <c r="H89" s="2"/>
      <c r="I89" s="2"/>
    </row>
    <row r="90" customFormat="false" ht="15" hidden="false" customHeight="false" outlineLevel="0" collapsed="false">
      <c r="A90" s="2"/>
      <c r="B90" s="2" t="s">
        <v>146</v>
      </c>
      <c r="C90" s="2"/>
      <c r="D90" s="2" t="n">
        <v>4</v>
      </c>
      <c r="E90" s="2"/>
      <c r="F90" s="2"/>
      <c r="G90" s="5" t="n">
        <f aca="false">SUMIF($D$4:$D$84,D90,$G$4:$G$84)</f>
        <v>4058.2</v>
      </c>
      <c r="H90" s="2"/>
      <c r="I90" s="2"/>
    </row>
    <row r="91" customFormat="false" ht="15" hidden="false" customHeight="false" outlineLevel="0" collapsed="false">
      <c r="A91" s="2"/>
      <c r="B91" s="2" t="s">
        <v>162</v>
      </c>
      <c r="C91" s="2"/>
      <c r="D91" s="2" t="n">
        <v>5</v>
      </c>
      <c r="E91" s="2"/>
      <c r="F91" s="2"/>
      <c r="G91" s="5" t="n">
        <f aca="false">SUMIF($D$4:$D$84,D91,$G$4:$G$84)</f>
        <v>13119.5</v>
      </c>
      <c r="H91" s="2"/>
      <c r="I91" s="2"/>
    </row>
    <row r="92" customFormat="false" ht="15" hidden="false" customHeight="false" outlineLevel="0" collapsed="false">
      <c r="A92" s="2"/>
      <c r="B92" s="2" t="s">
        <v>188</v>
      </c>
      <c r="C92" s="2"/>
      <c r="D92" s="2" t="n">
        <v>6</v>
      </c>
      <c r="E92" s="2"/>
      <c r="F92" s="2"/>
      <c r="G92" s="5" t="n">
        <f aca="false">SUMIF($D$4:$D$84,D92,$G$4:$G$84)</f>
        <v>13384.5</v>
      </c>
      <c r="H92" s="2"/>
      <c r="I92" s="2"/>
    </row>
    <row r="93" customFormat="false" ht="15" hidden="false" customHeight="false" outlineLevel="0" collapsed="false">
      <c r="A93" s="2"/>
      <c r="B93" s="2" t="s">
        <v>207</v>
      </c>
      <c r="C93" s="2"/>
      <c r="D93" s="2" t="n">
        <v>7</v>
      </c>
      <c r="E93" s="2"/>
      <c r="F93" s="2"/>
      <c r="G93" s="5" t="n">
        <f aca="false">SUMIF($D$4:$D$84,D93,$G$4:$G$84)</f>
        <v>4511.4</v>
      </c>
      <c r="H93" s="2"/>
      <c r="I93" s="2"/>
    </row>
    <row r="94" customFormat="false" ht="15" hidden="false" customHeight="false" outlineLevel="0" collapsed="false">
      <c r="A94" s="2"/>
      <c r="B94" s="8" t="s">
        <v>222</v>
      </c>
      <c r="C94" s="2"/>
      <c r="D94" s="2"/>
      <c r="E94" s="2"/>
      <c r="F94" s="2"/>
      <c r="G94" s="5" t="n">
        <f aca="false">SUM(G4:G84)</f>
        <v>47075.5</v>
      </c>
      <c r="H94" s="2"/>
      <c r="I94" s="2"/>
    </row>
    <row r="95" customFormat="false" ht="15" hidden="false" customHeight="false" outlineLevel="0" collapsed="false">
      <c r="A95" s="2"/>
      <c r="B95" s="2" t="s">
        <v>223</v>
      </c>
      <c r="C95" s="2"/>
      <c r="D95" s="2"/>
      <c r="E95" s="2"/>
      <c r="F95" s="2"/>
      <c r="G95" s="5" t="n">
        <v>47536</v>
      </c>
      <c r="H95" s="2"/>
      <c r="I95" s="2"/>
    </row>
    <row r="96" customFormat="false" ht="15" hidden="false" customHeight="false" outlineLevel="0" collapsed="false">
      <c r="A96" s="2"/>
      <c r="B96" s="2" t="s">
        <v>224</v>
      </c>
      <c r="C96" s="2"/>
      <c r="D96" s="2"/>
      <c r="E96" s="2"/>
      <c r="F96" s="2"/>
      <c r="G96" s="2" t="n">
        <f aca="false">COUNTA(A4:A84)</f>
        <v>81</v>
      </c>
      <c r="H96" s="2"/>
      <c r="I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</row>
    <row r="98" customFormat="false" ht="30" hidden="false" customHeight="true" outlineLevel="0" collapsed="false">
      <c r="A98" s="2"/>
      <c r="B98" s="3" t="s">
        <v>225</v>
      </c>
      <c r="C98" s="3"/>
      <c r="D98" s="3"/>
      <c r="E98" s="3"/>
      <c r="F98" s="3"/>
      <c r="G98" s="3"/>
      <c r="H98" s="3"/>
      <c r="I98" s="3"/>
    </row>
  </sheetData>
  <autoFilter ref="A3:I84"/>
  <mergeCells count="1">
    <mergeCell ref="B98:I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60"/>
    <col collapsed="false" customWidth="true" hidden="false" outlineLevel="0" max="4" min="4" style="0" width="70"/>
    <col collapsed="false" customWidth="true" hidden="false" outlineLevel="0" max="5" min="5" style="0" width="40"/>
  </cols>
  <sheetData>
    <row r="1" customFormat="false" ht="16.15" hidden="false" customHeight="false" outlineLevel="0" collapsed="false">
      <c r="A1" s="1" t="s">
        <v>226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4" t="s">
        <v>227</v>
      </c>
      <c r="B3" s="4" t="s">
        <v>228</v>
      </c>
      <c r="C3" s="4" t="s">
        <v>229</v>
      </c>
      <c r="D3" s="4" t="s">
        <v>230</v>
      </c>
      <c r="E3" s="4" t="s">
        <v>231</v>
      </c>
    </row>
    <row r="4" customFormat="false" ht="26.85" hidden="false" customHeight="false" outlineLevel="0" collapsed="false">
      <c r="A4" s="9" t="n">
        <v>1</v>
      </c>
      <c r="B4" s="9" t="s">
        <v>232</v>
      </c>
      <c r="C4" s="9" t="s">
        <v>233</v>
      </c>
      <c r="D4" s="9" t="s">
        <v>234</v>
      </c>
      <c r="E4" s="9" t="s">
        <v>235</v>
      </c>
    </row>
    <row r="5" customFormat="false" ht="26.85" hidden="false" customHeight="false" outlineLevel="0" collapsed="false">
      <c r="A5" s="9" t="n">
        <v>1</v>
      </c>
      <c r="B5" s="9" t="s">
        <v>232</v>
      </c>
      <c r="C5" s="9" t="s">
        <v>236</v>
      </c>
      <c r="D5" s="9" t="s">
        <v>237</v>
      </c>
      <c r="E5" s="9" t="s">
        <v>238</v>
      </c>
    </row>
    <row r="6" customFormat="false" ht="15" hidden="false" customHeight="false" outlineLevel="0" collapsed="false">
      <c r="A6" s="9" t="n">
        <v>1</v>
      </c>
      <c r="B6" s="9" t="s">
        <v>232</v>
      </c>
      <c r="C6" s="9" t="s">
        <v>239</v>
      </c>
      <c r="D6" s="9" t="s">
        <v>240</v>
      </c>
      <c r="E6" s="9" t="s">
        <v>238</v>
      </c>
    </row>
    <row r="7" customFormat="false" ht="26.85" hidden="false" customHeight="false" outlineLevel="0" collapsed="false">
      <c r="A7" s="9" t="n">
        <v>1</v>
      </c>
      <c r="B7" s="9" t="s">
        <v>232</v>
      </c>
      <c r="C7" s="9" t="s">
        <v>241</v>
      </c>
      <c r="D7" s="9" t="s">
        <v>242</v>
      </c>
      <c r="E7" s="9" t="s">
        <v>243</v>
      </c>
    </row>
    <row r="8" customFormat="false" ht="15" hidden="false" customHeight="false" outlineLevel="0" collapsed="false">
      <c r="A8" s="9" t="n">
        <v>1</v>
      </c>
      <c r="B8" s="9" t="s">
        <v>232</v>
      </c>
      <c r="C8" s="9" t="s">
        <v>244</v>
      </c>
      <c r="D8" s="9" t="s">
        <v>245</v>
      </c>
      <c r="E8" s="9" t="s">
        <v>246</v>
      </c>
    </row>
    <row r="9" customFormat="false" ht="15" hidden="false" customHeight="false" outlineLevel="0" collapsed="false">
      <c r="A9" s="9" t="n">
        <v>1</v>
      </c>
      <c r="B9" s="9" t="s">
        <v>232</v>
      </c>
      <c r="C9" s="9" t="s">
        <v>247</v>
      </c>
      <c r="D9" s="9" t="s">
        <v>248</v>
      </c>
      <c r="E9" s="9" t="s">
        <v>238</v>
      </c>
    </row>
    <row r="10" customFormat="false" ht="39.55" hidden="false" customHeight="false" outlineLevel="0" collapsed="false">
      <c r="A10" s="9" t="n">
        <v>2</v>
      </c>
      <c r="B10" s="9" t="s">
        <v>249</v>
      </c>
      <c r="C10" s="9" t="s">
        <v>250</v>
      </c>
      <c r="D10" s="9" t="s">
        <v>251</v>
      </c>
      <c r="E10" s="9" t="s">
        <v>238</v>
      </c>
    </row>
    <row r="11" customFormat="false" ht="26.85" hidden="false" customHeight="false" outlineLevel="0" collapsed="false">
      <c r="A11" s="9" t="n">
        <v>2</v>
      </c>
      <c r="B11" s="9" t="s">
        <v>249</v>
      </c>
      <c r="C11" s="9" t="s">
        <v>252</v>
      </c>
      <c r="D11" s="9" t="s">
        <v>253</v>
      </c>
      <c r="E11" s="9" t="s">
        <v>238</v>
      </c>
    </row>
    <row r="12" customFormat="false" ht="15" hidden="false" customHeight="false" outlineLevel="0" collapsed="false">
      <c r="A12" s="9" t="n">
        <v>2</v>
      </c>
      <c r="B12" s="9" t="s">
        <v>232</v>
      </c>
      <c r="C12" s="9" t="s">
        <v>254</v>
      </c>
      <c r="D12" s="9" t="s">
        <v>255</v>
      </c>
      <c r="E12" s="9" t="s">
        <v>256</v>
      </c>
    </row>
    <row r="13" customFormat="false" ht="15" hidden="false" customHeight="false" outlineLevel="0" collapsed="false">
      <c r="A13" s="9" t="n">
        <v>2</v>
      </c>
      <c r="B13" s="9" t="s">
        <v>232</v>
      </c>
      <c r="C13" s="9" t="s">
        <v>257</v>
      </c>
      <c r="D13" s="9" t="s">
        <v>258</v>
      </c>
      <c r="E13" s="9" t="s">
        <v>246</v>
      </c>
    </row>
    <row r="14" customFormat="false" ht="15" hidden="false" customHeight="false" outlineLevel="0" collapsed="false">
      <c r="A14" s="9" t="n">
        <v>3</v>
      </c>
      <c r="B14" s="9" t="s">
        <v>232</v>
      </c>
      <c r="C14" s="9" t="s">
        <v>259</v>
      </c>
      <c r="D14" s="9" t="s">
        <v>260</v>
      </c>
      <c r="E14" s="9" t="s">
        <v>261</v>
      </c>
    </row>
    <row r="15" customFormat="false" ht="26.85" hidden="false" customHeight="false" outlineLevel="0" collapsed="false">
      <c r="A15" s="9" t="n">
        <v>3</v>
      </c>
      <c r="B15" s="9" t="s">
        <v>262</v>
      </c>
      <c r="C15" s="9" t="s">
        <v>263</v>
      </c>
      <c r="D15" s="9" t="s">
        <v>264</v>
      </c>
      <c r="E15" s="9" t="s">
        <v>265</v>
      </c>
    </row>
    <row r="16" customFormat="false" ht="15" hidden="false" customHeight="false" outlineLevel="0" collapsed="false">
      <c r="A16" s="9" t="n">
        <v>3</v>
      </c>
      <c r="B16" s="9" t="s">
        <v>262</v>
      </c>
      <c r="C16" s="9" t="s">
        <v>266</v>
      </c>
      <c r="D16" s="9" t="s">
        <v>267</v>
      </c>
      <c r="E16" s="9" t="s">
        <v>268</v>
      </c>
    </row>
    <row r="17" customFormat="false" ht="26.85" hidden="false" customHeight="false" outlineLevel="0" collapsed="false">
      <c r="A17" s="9" t="n">
        <v>3</v>
      </c>
      <c r="B17" s="9" t="s">
        <v>262</v>
      </c>
      <c r="C17" s="9" t="s">
        <v>269</v>
      </c>
      <c r="D17" s="9" t="s">
        <v>270</v>
      </c>
      <c r="E17" s="9" t="s">
        <v>271</v>
      </c>
    </row>
    <row r="18" customFormat="false" ht="15" hidden="false" customHeight="false" outlineLevel="0" collapsed="false">
      <c r="A18" s="9" t="n">
        <v>3</v>
      </c>
      <c r="B18" s="9" t="s">
        <v>262</v>
      </c>
      <c r="C18" s="9" t="s">
        <v>272</v>
      </c>
      <c r="D18" s="9"/>
      <c r="E18" s="9" t="s">
        <v>265</v>
      </c>
    </row>
    <row r="19" customFormat="false" ht="15" hidden="false" customHeight="false" outlineLevel="0" collapsed="false">
      <c r="A19" s="9" t="n">
        <v>3</v>
      </c>
      <c r="B19" s="9" t="s">
        <v>262</v>
      </c>
      <c r="C19" s="9" t="s">
        <v>273</v>
      </c>
      <c r="D19" s="9" t="s">
        <v>274</v>
      </c>
      <c r="E19" s="9" t="s">
        <v>265</v>
      </c>
    </row>
    <row r="20" customFormat="false" ht="15" hidden="false" customHeight="false" outlineLevel="0" collapsed="false">
      <c r="A20" s="9" t="n">
        <v>3</v>
      </c>
      <c r="B20" s="9" t="s">
        <v>262</v>
      </c>
      <c r="C20" s="9" t="s">
        <v>275</v>
      </c>
      <c r="D20" s="9" t="s">
        <v>276</v>
      </c>
      <c r="E20" s="9" t="s">
        <v>271</v>
      </c>
    </row>
    <row r="21" customFormat="false" ht="15" hidden="false" customHeight="false" outlineLevel="0" collapsed="false">
      <c r="A21" s="9" t="n">
        <v>3</v>
      </c>
      <c r="B21" s="9" t="s">
        <v>262</v>
      </c>
      <c r="C21" s="9" t="s">
        <v>277</v>
      </c>
      <c r="D21" s="9" t="s">
        <v>278</v>
      </c>
      <c r="E21" s="9" t="s">
        <v>265</v>
      </c>
    </row>
    <row r="22" customFormat="false" ht="26.85" hidden="false" customHeight="false" outlineLevel="0" collapsed="false">
      <c r="A22" s="9" t="n">
        <v>3</v>
      </c>
      <c r="B22" s="9" t="s">
        <v>262</v>
      </c>
      <c r="C22" s="9" t="s">
        <v>279</v>
      </c>
      <c r="D22" s="9" t="s">
        <v>280</v>
      </c>
      <c r="E22" s="9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2026-10-21T05:36:59Z</dcterms:created>
  <dc:creator>openpyxl</dc:creator>
  <dc:description/>
  <dc:language>en-US</dc:language>
  <cp:lastModifiedBy/>
  <dcterms:modified xsi:type="dcterms:W3CDTF">2026-10-21T05:36:59Z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